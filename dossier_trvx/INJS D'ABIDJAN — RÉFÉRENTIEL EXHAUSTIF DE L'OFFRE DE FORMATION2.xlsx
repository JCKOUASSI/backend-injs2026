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1. Filières &amp; Concours" sheetId="2" state="visible" r:id="rId2"/>
    <sheet xmlns:r="http://schemas.openxmlformats.org/officeDocument/2006/relationships" name="2. Cycle professionnel" sheetId="3" state="visible" r:id="rId3"/>
    <sheet xmlns:r="http://schemas.openxmlformats.org/officeDocument/2006/relationships" name="3. Formations à la carte" sheetId="4" state="visible" r:id="rId4"/>
    <sheet xmlns:r="http://schemas.openxmlformats.org/officeDocument/2006/relationships" name="4. Semestres &amp; Grades" sheetId="5" state="visible" r:id="rId5"/>
    <sheet xmlns:r="http://schemas.openxmlformats.org/officeDocument/2006/relationships" name="Maquette EM" sheetId="6" state="visible" r:id="rId6"/>
    <sheet xmlns:r="http://schemas.openxmlformats.org/officeDocument/2006/relationships" name="Maquette MS" sheetId="7" state="visible" r:id="rId7"/>
    <sheet xmlns:r="http://schemas.openxmlformats.org/officeDocument/2006/relationships" name="Maquette ES" sheetId="8" state="visible" r:id="rId8"/>
    <sheet xmlns:r="http://schemas.openxmlformats.org/officeDocument/2006/relationships" name="Maquette APA" sheetId="9" state="visible" r:id="rId9"/>
    <sheet xmlns:r="http://schemas.openxmlformats.org/officeDocument/2006/relationships" name="5. Organisation" sheetId="10" state="visible" r:id="rId10"/>
    <sheet xmlns:r="http://schemas.openxmlformats.org/officeDocument/2006/relationships" name="6. Groupes, Catég., Horaires" sheetId="11" state="visible" r:id="rId11"/>
    <sheet xmlns:r="http://schemas.openxmlformats.org/officeDocument/2006/relationships" name="7. Statistiques" sheetId="12" state="visible" r:id="rId12"/>
    <sheet xmlns:r="http://schemas.openxmlformats.org/officeDocument/2006/relationships" name="8. Base UE (source TCD)" sheetId="13" state="visible" r:id="rId13"/>
    <sheet xmlns:r="http://schemas.openxmlformats.org/officeDocument/2006/relationships" name="9. Analyse dynamique" sheetId="14" state="visible" r:id="rId14"/>
    <sheet xmlns:r="http://schemas.openxmlformats.org/officeDocument/2006/relationships" name="Listes" sheetId="15" state="hidden" r:id="rId15"/>
    <sheet xmlns:r="http://schemas.openxmlformats.org/officeDocument/2006/relationships" name="10. Suivi inscriptions" sheetId="16" state="visible" r:id="rId16"/>
    <sheet xmlns:r="http://schemas.openxmlformats.org/officeDocument/2006/relationships" name="11. Suivi des notes" sheetId="17" state="visible" r:id="rId17"/>
    <sheet xmlns:r="http://schemas.openxmlformats.org/officeDocument/2006/relationships" name="12. Relevé de notes" sheetId="18" state="visible" r:id="rId18"/>
    <sheet xmlns:r="http://schemas.openxmlformats.org/officeDocument/2006/relationships" name="13. Emploi du temps (modèle)" sheetId="19" state="visible" r:id="rId19"/>
  </sheets>
  <definedNames>
    <definedName name="_xlnm._FilterDatabase" localSheetId="12" hidden="1">'8. Base UE (source TCD)'!$A$3:$L$326</definedName>
    <definedName name="_xlnm._FilterDatabase" localSheetId="15" hidden="1">'10. Suivi inscriptions'!$A$4:$R$204</definedName>
    <definedName name="_xlnm._FilterDatabase" localSheetId="16" hidden="1">'11. Suivi des notes'!$A$4:$M$304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8000"/>
      <sz val="16"/>
    </font>
    <font>
      <i val="1"/>
      <sz val="12"/>
    </font>
    <font>
      <b val="1"/>
      <color rgb="001F3864"/>
    </font>
    <font>
      <b val="1"/>
      <color rgb="00C00000"/>
    </font>
    <font>
      <b val="1"/>
      <color rgb="001F3864"/>
      <sz val="14"/>
    </font>
    <font>
      <b val="1"/>
      <color rgb="00FF8000"/>
      <sz val="12"/>
    </font>
    <font>
      <b val="1"/>
      <color rgb="00FFFFFF"/>
      <sz val="11"/>
    </font>
    <font>
      <i val="1"/>
    </font>
    <font>
      <b val="1"/>
    </font>
    <font>
      <b val="1"/>
      <color rgb="00FFFFFF"/>
    </font>
    <font>
      <b val="1"/>
      <color rgb="00C00000"/>
      <sz val="11"/>
    </font>
    <font>
      <i val="1"/>
      <sz val="9"/>
    </font>
    <font>
      <b val="1"/>
      <color rgb="001F3864"/>
      <sz val="11"/>
    </font>
    <font>
      <b val="1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7F0E7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4" borderId="0" pivotButton="0" quotePrefix="0" xfId="0"/>
    <xf numFmtId="0" fontId="0" fillId="4" borderId="0" pivotButton="0" quotePrefix="0" xfId="0"/>
    <xf numFmtId="0" fontId="11" fillId="5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0" pivotButton="0" quotePrefix="0" xfId="0"/>
    <xf numFmtId="9" fontId="5" fillId="4" borderId="1" pivotButton="0" quotePrefix="0" xfId="0"/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right"/>
    </xf>
    <xf numFmtId="0" fontId="0" fillId="4" borderId="1" pivotButton="0" quotePrefix="0" xfId="0"/>
    <xf numFmtId="0" fontId="6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3" fillId="0" borderId="0" applyAlignment="1" pivotButton="0" quotePrefix="0" xfId="0">
      <alignment vertical="top" wrapText="1"/>
    </xf>
    <xf numFmtId="0" fontId="10" fillId="3" borderId="1" applyAlignment="1" pivotButton="0" quotePrefix="0" xfId="0">
      <alignment horizontal="center" vertical="top" wrapText="1"/>
    </xf>
    <xf numFmtId="0" fontId="0" fillId="0" borderId="12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Crédits CECT par famille de modules et par filière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'7. Statistiques'!B48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Statistiques'!$A$49:$A$60</f>
            </numRef>
          </cat>
          <val>
            <numRef>
              <f>'7. Statistiques'!$B$49:$B$60</f>
            </numRef>
          </val>
        </ser>
        <ser>
          <idx val="1"/>
          <order val="1"/>
          <tx>
            <strRef>
              <f>'7. Statistiques'!C48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Statistiques'!$A$49:$A$60</f>
            </numRef>
          </cat>
          <val>
            <numRef>
              <f>'7. Statistiques'!$C$49:$C$60</f>
            </numRef>
          </val>
        </ser>
        <ser>
          <idx val="2"/>
          <order val="2"/>
          <tx>
            <strRef>
              <f>'7. Statistiques'!D48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Statistiques'!$A$49:$A$60</f>
            </numRef>
          </cat>
          <val>
            <numRef>
              <f>'7. Statistiques'!$D$49:$D$60</f>
            </numRef>
          </val>
        </ser>
        <ser>
          <idx val="3"/>
          <order val="3"/>
          <tx>
            <strRef>
              <f>'7. Statistiques'!E48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Statistiques'!$A$49:$A$60</f>
            </numRef>
          </cat>
          <val>
            <numRef>
              <f>'7. Statistiques'!$E$49:$E$60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Filières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Crédits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Poids des familles de modules (crédits, 4 filières)</a:t>
            </a:r>
          </a:p>
        </rich>
      </tx>
    </title>
    <plotArea>
      <pieChart>
        <varyColors val="1"/>
        <ser>
          <idx val="0"/>
          <order val="0"/>
          <tx>
            <strRef>
              <f>'7. Statistiques'!F48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Statistiques'!$A$49:$A$60</f>
            </numRef>
          </cat>
          <val>
            <numRef>
              <f>'7. Statistiques'!$F$49:$F$60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Nombre d'UE par semestre — Licence (tronc commun S1-S3)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'7. Statistiques'!B81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Statistiques'!$A$82:$A$87</f>
            </numRef>
          </cat>
          <val>
            <numRef>
              <f>'7. Statistiques'!$B$82:$B$87</f>
            </numRef>
          </val>
        </ser>
        <ser>
          <idx val="1"/>
          <order val="1"/>
          <tx>
            <strRef>
              <f>'7. Statistiques'!C81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Statistiques'!$A$82:$A$87</f>
            </numRef>
          </cat>
          <val>
            <numRef>
              <f>'7. Statistiques'!$C$82:$C$87</f>
            </numRef>
          </val>
        </ser>
        <ser>
          <idx val="2"/>
          <order val="2"/>
          <tx>
            <strRef>
              <f>'7. Statistiques'!D81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Statistiques'!$A$82:$A$87</f>
            </numRef>
          </cat>
          <val>
            <numRef>
              <f>'7. Statistiques'!$D$82:$D$87</f>
            </numRef>
          </val>
        </ser>
        <ser>
          <idx val="3"/>
          <order val="3"/>
          <tx>
            <strRef>
              <f>'7. Statistiques'!E81</f>
            </strRef>
          </tx>
          <spPr>
            <a:ln xmlns:a="http://schemas.openxmlformats.org/drawingml/2006/main">
              <a:prstDash val="solid"/>
            </a:ln>
          </spPr>
          <cat>
            <numRef>
              <f>'7. Statistiques'!$A$82:$A$87</f>
            </numRef>
          </cat>
          <val>
            <numRef>
              <f>'7. Statistiques'!$E$82:$E$87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49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45" customWidth="1" min="3" max="3"/>
    <col width="45" customWidth="1" min="4" max="4"/>
    <col width="25" customWidth="1" min="5" max="5"/>
    <col width="25" customWidth="1" min="6" max="6"/>
  </cols>
  <sheetData>
    <row r="2">
      <c r="B2" s="1" t="inlineStr">
        <is>
          <t>INJS D'ABIDJAN — RÉFÉRENTIEL EXHAUSTIF DE L'OFFRE DE FORMATION</t>
        </is>
      </c>
    </row>
    <row r="4">
      <c r="B4" s="2" t="inlineStr">
        <is>
          <t>Institut National de la Jeunesse et des Sports — Abidjan-Marcory, Côte d'Ivoire</t>
        </is>
      </c>
    </row>
    <row r="6">
      <c r="B6" s="3" t="inlineStr">
        <is>
          <t>Écoles</t>
        </is>
      </c>
      <c r="C6" s="4" t="inlineStr">
        <is>
          <t>ENSEPS (STAPS) ; ENSEP (STASE)</t>
        </is>
      </c>
    </row>
    <row r="7">
      <c r="B7" s="3" t="inlineStr">
        <is>
          <t>Centres rattachés</t>
        </is>
      </c>
      <c r="C7" s="4" t="inlineStr">
        <is>
          <t>CNSHN (sport de haut niveau) ; CNMS (médecine du sport)</t>
        </is>
      </c>
    </row>
    <row r="8">
      <c r="B8" s="3" t="inlineStr">
        <is>
          <t>Cursus</t>
        </is>
      </c>
      <c r="C8" s="4" t="inlineStr">
        <is>
          <t>Cursus universitaire (LMD, 5 ans) ; Cycle professionnel (2 ans) ; Formations à la carte</t>
        </is>
      </c>
    </row>
    <row r="9">
      <c r="B9" s="3" t="inlineStr">
        <is>
          <t>Contenu du classeur</t>
        </is>
      </c>
      <c r="C9" s="4" t="inlineStr">
        <is>
          <t>Filières, concours, cycle professionnel, formations à la carte, semestres, grades, et les 4 MAQUETTES COMPLÈTES (UE + ECUE + crédits par semestre) : EM, MS, ES, APA</t>
        </is>
      </c>
    </row>
    <row r="11">
      <c r="B11" s="3" t="inlineStr">
        <is>
          <t>SOURCES</t>
        </is>
      </c>
    </row>
    <row r="12">
      <c r="B12" s="4" t="inlineStr">
        <is>
          <t>Sources : site officiel www.injsabidjan.ci (Cursus universitaire, Cycle professionnel, Formation à la carte, Maquettes de formation EM/MS/ES/APA, Futurs étudiants, Notre Institut), plateforme concours.injsabidjan.com, communiqués officiels 2024-2025. Compilation : 28 octobre 2026.</t>
        </is>
      </c>
      <c r="C12" s="5" t="n"/>
      <c r="D12" s="5" t="n"/>
      <c r="E12" s="5" t="n"/>
      <c r="F12" s="6" t="n"/>
    </row>
    <row r="13">
      <c r="B13" s="7" t="n"/>
      <c r="C13" s="8" t="n"/>
      <c r="D13" s="8" t="n"/>
      <c r="E13" s="8" t="n"/>
      <c r="F13" s="9" t="n"/>
    </row>
    <row r="15">
      <c r="B15" s="10" t="inlineStr">
        <is>
          <t>LIMITES (données internes non publiées)</t>
        </is>
      </c>
    </row>
    <row r="16">
      <c r="B16" s="4" t="inlineStr">
        <is>
          <t>Données internes non publiées : listes nominatives des groupes, maquettes horaires en heures CM/TD/TP, emplois du temps semestriels (plages générales : 8h-12h et 14h-18h, lundi-samedi), maquettes STASE détaillées, effectifs par promotion. À obtenir auprès des scolarités DENSEPS / DENSEP (INJS, Marcory-Abidjan).</t>
        </is>
      </c>
      <c r="C16" s="5" t="n"/>
      <c r="D16" s="5" t="n"/>
      <c r="E16" s="5" t="n"/>
      <c r="F16" s="6" t="n"/>
    </row>
    <row r="17">
      <c r="B17" s="11" t="n"/>
      <c r="F17" s="12" t="n"/>
    </row>
    <row r="18">
      <c r="B18" s="7" t="n"/>
      <c r="C18" s="8" t="n"/>
      <c r="D18" s="8" t="n"/>
      <c r="E18" s="8" t="n"/>
      <c r="F18" s="9" t="n"/>
    </row>
  </sheetData>
  <mergeCells count="2">
    <mergeCell ref="B16:F18"/>
    <mergeCell ref="B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  <col width="55" customWidth="1" min="4" max="4"/>
    <col width="22" customWidth="1" min="5" max="5"/>
  </cols>
  <sheetData>
    <row r="1">
      <c r="A1" s="13" t="inlineStr">
        <is>
          <t>1. LES FILIÈRES DE L'INJS</t>
        </is>
      </c>
    </row>
    <row r="3">
      <c r="A3" s="14" t="inlineStr">
        <is>
          <t>1.1. Les 2 grandes filières (mentions)</t>
        </is>
      </c>
    </row>
    <row r="4">
      <c r="A4" s="15" t="inlineStr">
        <is>
          <t>N°</t>
        </is>
      </c>
      <c r="B4" s="15" t="inlineStr">
        <is>
          <t>Filière</t>
        </is>
      </c>
      <c r="C4" s="15" t="inlineStr">
        <is>
          <t>Sigle</t>
        </is>
      </c>
      <c r="D4" s="15" t="inlineStr">
        <is>
          <t>École</t>
        </is>
      </c>
      <c r="E4" s="15" t="inlineStr">
        <is>
          <t>Domaine</t>
        </is>
      </c>
    </row>
    <row r="5">
      <c r="A5" s="16" t="n">
        <v>1</v>
      </c>
      <c r="B5" s="4" t="inlineStr">
        <is>
          <t>Sciences et Techniques des Activités Physiques et Sportives</t>
        </is>
      </c>
      <c r="C5" s="4" t="inlineStr">
        <is>
          <t>STAPS</t>
        </is>
      </c>
      <c r="D5" s="4" t="inlineStr">
        <is>
          <t>ENSEPS</t>
        </is>
      </c>
      <c r="E5" s="4" t="inlineStr">
        <is>
          <t>Sciences et Technologies</t>
        </is>
      </c>
    </row>
    <row r="6">
      <c r="A6" s="17" t="n">
        <v>2</v>
      </c>
      <c r="B6" s="18" t="inlineStr">
        <is>
          <t>Sciences et Techniques des Activités Socio-Éducatives</t>
        </is>
      </c>
      <c r="C6" s="18" t="inlineStr">
        <is>
          <t>STASE</t>
        </is>
      </c>
      <c r="D6" s="18" t="inlineStr">
        <is>
          <t>ENSEP</t>
        </is>
      </c>
      <c r="E6" s="18" t="inlineStr">
        <is>
          <t>Sciences de l'Éducation</t>
        </is>
      </c>
    </row>
    <row r="8">
      <c r="A8" s="14" t="inlineStr">
        <is>
          <t>1.2. Les 8 filières du cursus universitaire (LMD — 5 ans, accès BAC)</t>
        </is>
      </c>
    </row>
    <row r="9">
      <c r="A9" s="15" t="inlineStr">
        <is>
          <t>N°</t>
        </is>
      </c>
      <c r="B9" s="15" t="inlineStr">
        <is>
          <t>École / Mention</t>
        </is>
      </c>
      <c r="C9" s="15" t="inlineStr">
        <is>
          <t>Filière</t>
        </is>
      </c>
      <c r="D9" s="15" t="inlineStr">
        <is>
          <t>Sigle</t>
        </is>
      </c>
      <c r="E9" s="15" t="inlineStr">
        <is>
          <t>Diplômes délivrés</t>
        </is>
      </c>
    </row>
    <row r="10">
      <c r="A10" s="16" t="n">
        <v>1</v>
      </c>
      <c r="B10" s="4" t="inlineStr">
        <is>
          <t>ENSEPS (STAPS)</t>
        </is>
      </c>
      <c r="C10" s="4" t="inlineStr">
        <is>
          <t>Éducation et Motricité</t>
        </is>
      </c>
      <c r="D10" s="4" t="inlineStr">
        <is>
          <t>EM</t>
        </is>
      </c>
      <c r="E10" s="4" t="inlineStr">
        <is>
          <t>Licence pro STAPS + Master pro STAPS</t>
        </is>
      </c>
    </row>
    <row r="11">
      <c r="A11" s="17" t="n">
        <v>2</v>
      </c>
      <c r="B11" s="18" t="inlineStr">
        <is>
          <t>ENSEPS (STAPS)</t>
        </is>
      </c>
      <c r="C11" s="18" t="inlineStr">
        <is>
          <t>Management du Sport</t>
        </is>
      </c>
      <c r="D11" s="18" t="inlineStr">
        <is>
          <t>MS</t>
        </is>
      </c>
      <c r="E11" s="18" t="inlineStr">
        <is>
          <t>Licence pro STAPS + Master pro STAPS</t>
        </is>
      </c>
    </row>
    <row r="12">
      <c r="A12" s="16" t="n">
        <v>3</v>
      </c>
      <c r="B12" s="4" t="inlineStr">
        <is>
          <t>ENSEPS (STAPS)</t>
        </is>
      </c>
      <c r="C12" s="4" t="inlineStr">
        <is>
          <t>Entraînement Sportif</t>
        </is>
      </c>
      <c r="D12" s="4" t="inlineStr">
        <is>
          <t>ES</t>
        </is>
      </c>
      <c r="E12" s="4" t="inlineStr">
        <is>
          <t>Licence pro STAPS + Master pro STAPS</t>
        </is>
      </c>
    </row>
    <row r="13">
      <c r="A13" s="17" t="n">
        <v>4</v>
      </c>
      <c r="B13" s="18" t="inlineStr">
        <is>
          <t>ENSEPS (STAPS)</t>
        </is>
      </c>
      <c r="C13" s="18" t="inlineStr">
        <is>
          <t>Activités Physiques Adaptées</t>
        </is>
      </c>
      <c r="D13" s="18" t="inlineStr">
        <is>
          <t>APA / APAS</t>
        </is>
      </c>
      <c r="E13" s="18" t="inlineStr">
        <is>
          <t>Licence pro STAPS + Master pro STAPS</t>
        </is>
      </c>
    </row>
    <row r="14">
      <c r="A14" s="16" t="n">
        <v>5</v>
      </c>
      <c r="B14" s="4" t="inlineStr">
        <is>
          <t>ENSEP (STASE)</t>
        </is>
      </c>
      <c r="C14" s="4" t="inlineStr">
        <is>
          <t>Andragogie</t>
        </is>
      </c>
      <c r="D14" s="4" t="inlineStr">
        <is>
          <t>—</t>
        </is>
      </c>
      <c r="E14" s="4" t="inlineStr">
        <is>
          <t>Licence pro STASE + Master pro STASE</t>
        </is>
      </c>
    </row>
    <row r="15">
      <c r="A15" s="17" t="n">
        <v>6</v>
      </c>
      <c r="B15" s="18" t="inlineStr">
        <is>
          <t>ENSEP (STASE)</t>
        </is>
      </c>
      <c r="C15" s="18" t="inlineStr">
        <is>
          <t>Loisir</t>
        </is>
      </c>
      <c r="D15" s="18" t="inlineStr">
        <is>
          <t>—</t>
        </is>
      </c>
      <c r="E15" s="18" t="inlineStr">
        <is>
          <t>Licence pro STASE + Master pro STASE</t>
        </is>
      </c>
    </row>
    <row r="16">
      <c r="A16" s="16" t="n">
        <v>7</v>
      </c>
      <c r="B16" s="4" t="inlineStr">
        <is>
          <t>ENSEP (STASE)</t>
        </is>
      </c>
      <c r="C16" s="4" t="inlineStr">
        <is>
          <t>Entrepreneuriat Jeunesse et Conduite de Projets</t>
        </is>
      </c>
      <c r="D16" s="4" t="inlineStr">
        <is>
          <t>ECJP</t>
        </is>
      </c>
      <c r="E16" s="4" t="inlineStr">
        <is>
          <t>Licence pro STASE + Master pro STASE</t>
        </is>
      </c>
    </row>
    <row r="17">
      <c r="A17" s="17" t="n">
        <v>8</v>
      </c>
      <c r="B17" s="18" t="inlineStr">
        <is>
          <t>ENSEP (STASE)</t>
        </is>
      </c>
      <c r="C17" s="18" t="inlineStr">
        <is>
          <t>Gérontologie</t>
        </is>
      </c>
      <c r="D17" s="18" t="inlineStr">
        <is>
          <t>—</t>
        </is>
      </c>
      <c r="E17" s="18" t="inlineStr">
        <is>
          <t>Licence pro STASE + Master pro STASE</t>
        </is>
      </c>
    </row>
    <row r="18">
      <c r="A18" s="14" t="inlineStr">
        <is>
          <t>1.3. Concours direct « Professorat de collège » — session 2025 (formations de 3 ans)</t>
        </is>
      </c>
    </row>
    <row r="19">
      <c r="A19" s="15" t="inlineStr">
        <is>
          <t>Sigle</t>
        </is>
      </c>
      <c r="B19" s="15" t="inlineStr">
        <is>
          <t>Concours</t>
        </is>
      </c>
      <c r="C19" s="15" t="inlineStr">
        <is>
          <t>Conditions d'accès</t>
        </is>
      </c>
      <c r="D19" s="15" t="inlineStr">
        <is>
          <t>Âge</t>
        </is>
      </c>
      <c r="E19" s="15" t="inlineStr">
        <is>
          <t>Durée / grade</t>
        </is>
      </c>
    </row>
    <row r="20">
      <c r="A20" s="4" t="inlineStr">
        <is>
          <t>PC-EPS</t>
        </is>
      </c>
      <c r="B20" s="4" t="inlineStr">
        <is>
          <t>Professeur de Collège option Éducation Physique et Sportive</t>
        </is>
      </c>
      <c r="C20" s="4" t="inlineStr">
        <is>
          <t>BAC 2021-2025, toutes séries</t>
        </is>
      </c>
      <c r="D20" s="4" t="inlineStr">
        <is>
          <t>18-30 ans</t>
        </is>
      </c>
      <c r="E20" s="4" t="inlineStr">
        <is>
          <t>3 ans (grade Licence)</t>
        </is>
      </c>
    </row>
    <row r="21">
      <c r="A21" s="18" t="inlineStr">
        <is>
          <t>PC-PS</t>
        </is>
      </c>
      <c r="B21" s="18" t="inlineStr">
        <is>
          <t>Professeur de Collège option Sport</t>
        </is>
      </c>
      <c r="C21" s="18" t="inlineStr">
        <is>
          <t>BAC 2021-2025 + pratique attestée d'une discipline : Basketball, Football, Handball, Volleyball, Athlétisme, Judo (ceinture noire), Natation, Taekwondo (+ Rugby selon sessions) ; entretien ; pas de tatouage</t>
        </is>
      </c>
      <c r="D21" s="18" t="inlineStr">
        <is>
          <t>18-30 ans</t>
        </is>
      </c>
      <c r="E21" s="18" t="inlineStr">
        <is>
          <t>3 ans (grade Licence)</t>
        </is>
      </c>
    </row>
    <row r="22">
      <c r="A22" s="4" t="inlineStr">
        <is>
          <t>PC-EP</t>
        </is>
      </c>
      <c r="B22" s="4" t="inlineStr">
        <is>
          <t>Professeur de Collège option Éducation Permanente</t>
        </is>
      </c>
      <c r="C22" s="4" t="inlineStr">
        <is>
          <t>BAC 2021-2025, toutes séries</t>
        </is>
      </c>
      <c r="D22" s="4" t="inlineStr">
        <is>
          <t>18-30 ans</t>
        </is>
      </c>
      <c r="E22" s="4" t="inlineStr">
        <is>
          <t>3 ans (grade Licence)</t>
        </is>
      </c>
    </row>
    <row r="23">
      <c r="A23" s="18" t="inlineStr">
        <is>
          <t>PC-EP-ENT</t>
        </is>
      </c>
      <c r="B23" s="18" t="inlineStr">
        <is>
          <t>Professeur de Collège option Éducation Permanente spécialité Entrepreneuriat</t>
        </is>
      </c>
      <c r="C23" s="18" t="inlineStr">
        <is>
          <t>BAC G2 (2021-2025) OU BAC + BTS Gestion commerciale / Finances-Comptabilité / Transport-Logistique OU BAC + Licence en sciences de gestion</t>
        </is>
      </c>
      <c r="D23" s="18" t="inlineStr">
        <is>
          <t>18-30 ans</t>
        </is>
      </c>
      <c r="E23" s="18" t="inlineStr">
        <is>
          <t>3 ans (grade Licence)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60" customWidth="1" min="3" max="3"/>
    <col width="10" customWidth="1" min="4" max="4"/>
  </cols>
  <sheetData>
    <row r="1">
      <c r="A1" s="13" t="inlineStr">
        <is>
          <t>2. CYCLE PROFESSIONNEL — 13 cycles de formation (durée : 2 ans)</t>
        </is>
      </c>
    </row>
    <row r="2">
      <c r="A2" s="19" t="inlineStr">
        <is>
          <t>Destiné aux professionnels en reconversion et aux fonctionnaires visant un grade supérieur.</t>
        </is>
      </c>
    </row>
    <row r="4">
      <c r="A4" s="15" t="inlineStr">
        <is>
          <t>École</t>
        </is>
      </c>
      <c r="B4" s="15" t="inlineStr">
        <is>
          <t>Cycle de formation</t>
        </is>
      </c>
      <c r="C4" s="15" t="inlineStr">
        <is>
          <t>Condition d'accès</t>
        </is>
      </c>
      <c r="D4" s="15" t="inlineStr">
        <is>
          <t>Durée</t>
        </is>
      </c>
    </row>
    <row r="5">
      <c r="A5" s="4" t="inlineStr">
        <is>
          <t>ENSEPS</t>
        </is>
      </c>
      <c r="B5" s="4" t="inlineStr">
        <is>
          <t>Maîtrise d'EPS</t>
        </is>
      </c>
      <c r="C5" s="4" t="inlineStr">
        <is>
          <t>BAC ou diplôme équivalent</t>
        </is>
      </c>
      <c r="D5" s="4" t="inlineStr">
        <is>
          <t>2 ans</t>
        </is>
      </c>
    </row>
    <row r="6">
      <c r="A6" s="18" t="inlineStr">
        <is>
          <t>ENSEPS</t>
        </is>
      </c>
      <c r="B6" s="18" t="inlineStr">
        <is>
          <t>Conseillat d'EPS</t>
        </is>
      </c>
      <c r="C6" s="18" t="inlineStr">
        <is>
          <t>CAMEPS + 3 ans d'expérience professionnelle</t>
        </is>
      </c>
      <c r="D6" s="18" t="inlineStr">
        <is>
          <t>2 ans</t>
        </is>
      </c>
    </row>
    <row r="7">
      <c r="A7" s="4" t="inlineStr">
        <is>
          <t>ENSEPS</t>
        </is>
      </c>
      <c r="B7" s="4" t="inlineStr">
        <is>
          <t>Inspectorat Jeunesse et Sport (IJS)</t>
        </is>
      </c>
      <c r="C7" s="4" t="inlineStr">
        <is>
          <t>CAPEPS + 3 ans d'expérience OU DECEPS + 5 ans</t>
        </is>
      </c>
      <c r="D7" s="4" t="inlineStr">
        <is>
          <t>2 ans</t>
        </is>
      </c>
    </row>
    <row r="8">
      <c r="A8" s="18" t="inlineStr">
        <is>
          <t>ENSEPS</t>
        </is>
      </c>
      <c r="B8" s="18" t="inlineStr">
        <is>
          <t>Inspectorat Pédagogique (IP)</t>
        </is>
      </c>
      <c r="C8" s="18" t="inlineStr">
        <is>
          <t>CAPEPS + 3 ans d'expérience OU DECEPS + 5 ans</t>
        </is>
      </c>
      <c r="D8" s="18" t="inlineStr">
        <is>
          <t>2 ans</t>
        </is>
      </c>
    </row>
    <row r="9">
      <c r="A9" s="4" t="inlineStr">
        <is>
          <t>ENSEPS</t>
        </is>
      </c>
      <c r="B9" s="4" t="inlineStr">
        <is>
          <t>Professorat Professionnel d'EPS</t>
        </is>
      </c>
      <c r="C9" s="4" t="inlineStr">
        <is>
          <t>DECEPS + 3 ans d'expérience professionnelle</t>
        </is>
      </c>
      <c r="D9" s="4" t="inlineStr">
        <is>
          <t>2 ans</t>
        </is>
      </c>
    </row>
    <row r="10">
      <c r="A10" s="18" t="inlineStr">
        <is>
          <t>ENSEPS</t>
        </is>
      </c>
      <c r="B10" s="18" t="inlineStr">
        <is>
          <t>Agrégation d'Enseignement Général du Secondaire</t>
        </is>
      </c>
      <c r="C10" s="18" t="inlineStr">
        <is>
          <t>CAPEPS + 7 ans d'expérience professionnelle</t>
        </is>
      </c>
      <c r="D10" s="18" t="inlineStr">
        <is>
          <t>2 ans</t>
        </is>
      </c>
    </row>
    <row r="11">
      <c r="A11" s="4" t="inlineStr">
        <is>
          <t>ENSEP</t>
        </is>
      </c>
      <c r="B11" s="4" t="inlineStr">
        <is>
          <t>Maîtrise Adjointe d'EP</t>
        </is>
      </c>
      <c r="C11" s="4" t="inlineStr">
        <is>
          <t>BEPC ou diplôme équivalent</t>
        </is>
      </c>
      <c r="D11" s="4" t="inlineStr">
        <is>
          <t>2 ans</t>
        </is>
      </c>
    </row>
    <row r="12">
      <c r="A12" s="18" t="inlineStr">
        <is>
          <t>ENSEP</t>
        </is>
      </c>
      <c r="B12" s="18" t="inlineStr">
        <is>
          <t>Maîtrise d'EP</t>
        </is>
      </c>
      <c r="C12" s="18" t="inlineStr">
        <is>
          <t>BAC ou équivalent + 3 ans d'expérience</t>
        </is>
      </c>
      <c r="D12" s="18" t="inlineStr">
        <is>
          <t>2 ans</t>
        </is>
      </c>
    </row>
    <row r="13">
      <c r="A13" s="4" t="inlineStr">
        <is>
          <t>ENSEP</t>
        </is>
      </c>
      <c r="B13" s="4" t="inlineStr">
        <is>
          <t>Inspectorat Jeunesse et Sport option EP</t>
        </is>
      </c>
      <c r="C13" s="4" t="inlineStr">
        <is>
          <t>CAPEP + 3 ans OU DECEP + 5 ans d'expérience</t>
        </is>
      </c>
      <c r="D13" s="4" t="inlineStr">
        <is>
          <t>2 ans</t>
        </is>
      </c>
    </row>
    <row r="14">
      <c r="A14" s="18" t="inlineStr">
        <is>
          <t>ENSEP</t>
        </is>
      </c>
      <c r="B14" s="18" t="inlineStr">
        <is>
          <t>Inspectorat Pédagogique EP</t>
        </is>
      </c>
      <c r="C14" s="18" t="inlineStr">
        <is>
          <t>CAPEP + 3 ans OU DECEP + 5 ans d'expérience</t>
        </is>
      </c>
      <c r="D14" s="18" t="inlineStr">
        <is>
          <t>2 ans</t>
        </is>
      </c>
    </row>
    <row r="15">
      <c r="A15" s="4" t="inlineStr">
        <is>
          <t>ENSEP</t>
        </is>
      </c>
      <c r="B15" s="4" t="inlineStr">
        <is>
          <t>Conseillat d'EP</t>
        </is>
      </c>
      <c r="C15" s="4" t="inlineStr">
        <is>
          <t>CAMEP + 3 ans d'expérience professionnelle</t>
        </is>
      </c>
      <c r="D15" s="4" t="inlineStr">
        <is>
          <t>2 ans</t>
        </is>
      </c>
    </row>
    <row r="16">
      <c r="A16" s="18" t="inlineStr">
        <is>
          <t>ENSEP</t>
        </is>
      </c>
      <c r="B16" s="18" t="inlineStr">
        <is>
          <t>Professorat Professionnel d'EP</t>
        </is>
      </c>
      <c r="C16" s="18" t="inlineStr">
        <is>
          <t>DECEP + 3 ans d'expérience professionnelle</t>
        </is>
      </c>
      <c r="D16" s="18" t="inlineStr">
        <is>
          <t>2 ans</t>
        </is>
      </c>
    </row>
    <row r="17">
      <c r="A17" s="4" t="inlineStr">
        <is>
          <t>ENSEP</t>
        </is>
      </c>
      <c r="B17" s="4" t="inlineStr">
        <is>
          <t>Agrégation d'Enseignement Général du Secondaire (EP)</t>
        </is>
      </c>
      <c r="C17" s="4" t="inlineStr">
        <is>
          <t>CAPEP + 7 ans d'expérience professionnelle</t>
        </is>
      </c>
      <c r="D17" s="4" t="inlineStr">
        <is>
          <t>2 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</cols>
  <sheetData>
    <row r="1">
      <c r="A1" s="13" t="inlineStr">
        <is>
          <t>3. FORMATIONS À LA CARTE — 17 formations (courte/moyenne durée, sans prérequis, certifiantes)</t>
        </is>
      </c>
    </row>
    <row r="3">
      <c r="A3" s="15" t="inlineStr">
        <is>
          <t>École</t>
        </is>
      </c>
      <c r="B3" s="15" t="inlineStr">
        <is>
          <t>Formation</t>
        </is>
      </c>
      <c r="C3" s="15" t="inlineStr">
        <is>
          <t>Catégorie</t>
        </is>
      </c>
    </row>
    <row r="4">
      <c r="A4" s="4" t="inlineStr">
        <is>
          <t>ENSEPS</t>
        </is>
      </c>
      <c r="B4" s="4" t="inlineStr">
        <is>
          <t>Moniteur Sportif</t>
        </is>
      </c>
      <c r="C4" s="4" t="inlineStr">
        <is>
          <t>Sport</t>
        </is>
      </c>
    </row>
    <row r="5">
      <c r="A5" s="18" t="inlineStr">
        <is>
          <t>ENSEPS</t>
        </is>
      </c>
      <c r="B5" s="18" t="inlineStr">
        <is>
          <t>Officiel de Compétition</t>
        </is>
      </c>
      <c r="C5" s="18" t="inlineStr">
        <is>
          <t>Sport</t>
        </is>
      </c>
    </row>
    <row r="6">
      <c r="A6" s="4" t="inlineStr">
        <is>
          <t>ENSEPS</t>
        </is>
      </c>
      <c r="B6" s="4" t="inlineStr">
        <is>
          <t>Entraîneur Fitness</t>
        </is>
      </c>
      <c r="C6" s="4" t="inlineStr">
        <is>
          <t>Sport</t>
        </is>
      </c>
    </row>
    <row r="7">
      <c r="A7" s="18" t="inlineStr">
        <is>
          <t>ENSEPS</t>
        </is>
      </c>
      <c r="B7" s="18" t="inlineStr">
        <is>
          <t>Maître Nageur</t>
        </is>
      </c>
      <c r="C7" s="18" t="inlineStr">
        <is>
          <t>Sport</t>
        </is>
      </c>
    </row>
    <row r="8">
      <c r="A8" s="4" t="inlineStr">
        <is>
          <t>ENSEPS</t>
        </is>
      </c>
      <c r="B8" s="4" t="inlineStr">
        <is>
          <t>Promoteur d'Événements Sportifs</t>
        </is>
      </c>
      <c r="C8" s="4" t="inlineStr">
        <is>
          <t>Management</t>
        </is>
      </c>
    </row>
    <row r="9">
      <c r="A9" s="18" t="inlineStr">
        <is>
          <t>ENSEPS</t>
        </is>
      </c>
      <c r="B9" s="18" t="inlineStr">
        <is>
          <t>Gestionnaire d'Infrastructures Sportives</t>
        </is>
      </c>
      <c r="C9" s="18" t="inlineStr">
        <is>
          <t>Gestion</t>
        </is>
      </c>
    </row>
    <row r="10">
      <c r="A10" s="4" t="inlineStr">
        <is>
          <t>ENSEPS</t>
        </is>
      </c>
      <c r="B10" s="4" t="inlineStr">
        <is>
          <t>Garde du Corps</t>
        </is>
      </c>
      <c r="C10" s="4" t="inlineStr">
        <is>
          <t>Sécurité</t>
        </is>
      </c>
    </row>
    <row r="11">
      <c r="A11" s="18" t="inlineStr">
        <is>
          <t>ENSEPS</t>
        </is>
      </c>
      <c r="B11" s="18" t="inlineStr">
        <is>
          <t>Fabricant de Matériel Sportif</t>
        </is>
      </c>
      <c r="C11" s="18" t="inlineStr">
        <is>
          <t>Artisanat</t>
        </is>
      </c>
    </row>
    <row r="12">
      <c r="A12" s="4" t="inlineStr">
        <is>
          <t>ENSEP</t>
        </is>
      </c>
      <c r="B12" s="4" t="inlineStr">
        <is>
          <t>Photographie</t>
        </is>
      </c>
      <c r="C12" s="4" t="inlineStr">
        <is>
          <t>Arts</t>
        </is>
      </c>
    </row>
    <row r="13">
      <c r="A13" s="18" t="inlineStr">
        <is>
          <t>ENSEP</t>
        </is>
      </c>
      <c r="B13" s="18" t="inlineStr">
        <is>
          <t>Peinture</t>
        </is>
      </c>
      <c r="C13" s="18" t="inlineStr">
        <is>
          <t>Arts</t>
        </is>
      </c>
    </row>
    <row r="14">
      <c r="A14" s="4" t="inlineStr">
        <is>
          <t>ENSEP</t>
        </is>
      </c>
      <c r="B14" s="4" t="inlineStr">
        <is>
          <t>Entrepreneuriat / Comptabilité</t>
        </is>
      </c>
      <c r="C14" s="4" t="inlineStr">
        <is>
          <t>Business</t>
        </is>
      </c>
    </row>
    <row r="15">
      <c r="A15" s="18" t="inlineStr">
        <is>
          <t>ENSEP</t>
        </is>
      </c>
      <c r="B15" s="18" t="inlineStr">
        <is>
          <t>Broderie</t>
        </is>
      </c>
      <c r="C15" s="18" t="inlineStr">
        <is>
          <t>Artisanat</t>
        </is>
      </c>
    </row>
    <row r="16">
      <c r="A16" s="4" t="inlineStr">
        <is>
          <t>ENSEP</t>
        </is>
      </c>
      <c r="B16" s="4" t="inlineStr">
        <is>
          <t>Aviculture</t>
        </is>
      </c>
      <c r="C16" s="4" t="inlineStr">
        <is>
          <t>Agriculture</t>
        </is>
      </c>
    </row>
    <row r="17">
      <c r="A17" s="18" t="inlineStr">
        <is>
          <t>ENSEP</t>
        </is>
      </c>
      <c r="B17" s="18" t="inlineStr">
        <is>
          <t>Pâtisserie</t>
        </is>
      </c>
      <c r="C17" s="18" t="inlineStr">
        <is>
          <t>Cuisine</t>
        </is>
      </c>
    </row>
    <row r="18">
      <c r="A18" s="4" t="inlineStr">
        <is>
          <t>ENSEP</t>
        </is>
      </c>
      <c r="B18" s="4" t="inlineStr">
        <is>
          <t>Maraîchage</t>
        </is>
      </c>
      <c r="C18" s="4" t="inlineStr">
        <is>
          <t>Agriculture</t>
        </is>
      </c>
    </row>
    <row r="19">
      <c r="A19" s="18" t="inlineStr">
        <is>
          <t>ENSEP</t>
        </is>
      </c>
      <c r="B19" s="18" t="inlineStr">
        <is>
          <t>Coupe / Couture</t>
        </is>
      </c>
      <c r="C19" s="18" t="inlineStr">
        <is>
          <t>Artisanat</t>
        </is>
      </c>
    </row>
    <row r="20">
      <c r="A20" s="4" t="inlineStr">
        <is>
          <t>ENSEP</t>
        </is>
      </c>
      <c r="B20" s="4" t="inlineStr">
        <is>
          <t>Art Floral</t>
        </is>
      </c>
      <c r="C20" s="4" t="inlineStr">
        <is>
          <t>Arts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60" customWidth="1" min="4" max="4"/>
  </cols>
  <sheetData>
    <row r="1">
      <c r="A1" s="13" t="inlineStr">
        <is>
          <t>4. LES SEMESTRES</t>
        </is>
      </c>
    </row>
    <row r="3">
      <c r="A3" s="15" t="inlineStr">
        <is>
          <t>Palier</t>
        </is>
      </c>
      <c r="B3" s="15" t="inlineStr">
        <is>
          <t>Semestres</t>
        </is>
      </c>
      <c r="C3" s="15" t="inlineStr">
        <is>
          <t>Crédits/an</t>
        </is>
      </c>
      <c r="D3" s="15" t="inlineStr">
        <is>
          <t>Sanction</t>
        </is>
      </c>
    </row>
    <row r="4">
      <c r="A4" s="4" t="inlineStr">
        <is>
          <t>Licence 1</t>
        </is>
      </c>
      <c r="B4" s="4" t="inlineStr">
        <is>
          <t>S1 + S2</t>
        </is>
      </c>
      <c r="C4" s="4" t="inlineStr">
        <is>
          <t>60</t>
        </is>
      </c>
      <c r="D4" s="4" t="inlineStr">
        <is>
          <t>—</t>
        </is>
      </c>
    </row>
    <row r="5">
      <c r="A5" s="18" t="inlineStr">
        <is>
          <t>Licence 2</t>
        </is>
      </c>
      <c r="B5" s="18" t="inlineStr">
        <is>
          <t>S3 + S4</t>
        </is>
      </c>
      <c r="C5" s="18" t="inlineStr">
        <is>
          <t>60</t>
        </is>
      </c>
      <c r="D5" s="18" t="inlineStr">
        <is>
          <t>—</t>
        </is>
      </c>
    </row>
    <row r="6">
      <c r="A6" s="4" t="inlineStr">
        <is>
          <t>Licence 3</t>
        </is>
      </c>
      <c r="B6" s="4" t="inlineStr">
        <is>
          <t>S5 + S6</t>
        </is>
      </c>
      <c r="C6" s="4" t="inlineStr">
        <is>
          <t>60</t>
        </is>
      </c>
      <c r="D6" s="4" t="inlineStr">
        <is>
          <t>Licence professionnelle — 180 crédits (BAC+3)</t>
        </is>
      </c>
    </row>
    <row r="7">
      <c r="A7" s="18" t="inlineStr">
        <is>
          <t>Master 1</t>
        </is>
      </c>
      <c r="B7" s="18" t="inlineStr">
        <is>
          <t>S7 (M.S1) + S8 (M.S2)</t>
        </is>
      </c>
      <c r="C7" s="18" t="inlineStr">
        <is>
          <t>60</t>
        </is>
      </c>
      <c r="D7" s="18" t="inlineStr">
        <is>
          <t>—</t>
        </is>
      </c>
    </row>
    <row r="8">
      <c r="A8" s="4" t="inlineStr">
        <is>
          <t>Master 2</t>
        </is>
      </c>
      <c r="B8" s="4" t="inlineStr">
        <is>
          <t>S9 (M.S3) + S10 (M.S4)</t>
        </is>
      </c>
      <c r="C8" s="4" t="inlineStr">
        <is>
          <t>60</t>
        </is>
      </c>
      <c r="D8" s="4" t="inlineStr">
        <is>
          <t>Master professionnel — 120 crédits (BAC+5)</t>
        </is>
      </c>
    </row>
    <row r="9">
      <c r="A9" s="18" t="inlineStr">
        <is>
          <t>Doctorat 1-3</t>
        </is>
      </c>
      <c r="B9" s="18" t="inlineStr">
        <is>
          <t>S11 à S16</t>
        </is>
      </c>
      <c r="C9" s="18" t="inlineStr">
        <is>
          <t>180</t>
        </is>
      </c>
      <c r="D9" s="18" t="inlineStr">
        <is>
          <t>Doctorat (BAC+8)</t>
        </is>
      </c>
    </row>
    <row r="10">
      <c r="A10" s="4" t="inlineStr">
        <is>
          <t>Cycle professionnel</t>
        </is>
      </c>
      <c r="B10" s="4" t="inlineStr">
        <is>
          <t>4 semestres</t>
        </is>
      </c>
      <c r="C10" s="4" t="inlineStr">
        <is>
          <t>—</t>
        </is>
      </c>
      <c r="D10" s="4" t="inlineStr">
        <is>
          <t>2 ans par cycle</t>
        </is>
      </c>
    </row>
    <row r="11">
      <c r="A11" s="18" t="inlineStr">
        <is>
          <t>Professorat de collège (concours)</t>
        </is>
      </c>
      <c r="B11" s="18" t="inlineStr">
        <is>
          <t>6 semestres</t>
        </is>
      </c>
      <c r="C11" s="18" t="inlineStr">
        <is>
          <t>—</t>
        </is>
      </c>
      <c r="D11" s="18" t="inlineStr">
        <is>
          <t>3 ans — grade Licence</t>
        </is>
      </c>
    </row>
    <row r="13">
      <c r="A13" s="13" t="inlineStr">
        <is>
          <t>7. LES GRADES</t>
        </is>
      </c>
    </row>
    <row r="15">
      <c r="A15" s="14" t="inlineStr">
        <is>
          <t>Grades universitaires LMD</t>
        </is>
      </c>
    </row>
    <row r="16">
      <c r="A16" s="15" t="inlineStr">
        <is>
          <t>Grade</t>
        </is>
      </c>
      <c r="B16" s="15" t="inlineStr">
        <is>
          <t>Niveau</t>
        </is>
      </c>
      <c r="C16" s="15" t="inlineStr">
        <is>
          <t>Crédits</t>
        </is>
      </c>
      <c r="D16" s="15" t="inlineStr">
        <is>
          <t>Accès</t>
        </is>
      </c>
    </row>
    <row r="17">
      <c r="A17" s="4" t="inlineStr">
        <is>
          <t>Licence professionnelle (STAPS / STASE)</t>
        </is>
      </c>
      <c r="B17" s="4" t="inlineStr">
        <is>
          <t>BAC+3</t>
        </is>
      </c>
      <c r="C17" s="4" t="inlineStr">
        <is>
          <t>180</t>
        </is>
      </c>
      <c r="D17" s="4" t="inlineStr">
        <is>
          <t>Concours PC ou filière universitaire</t>
        </is>
      </c>
    </row>
    <row r="18">
      <c r="A18" s="18" t="inlineStr">
        <is>
          <t>Master professionnel (STAPS / STASE)</t>
        </is>
      </c>
      <c r="B18" s="18" t="inlineStr">
        <is>
          <t>BAC+5</t>
        </is>
      </c>
      <c r="C18" s="18" t="inlineStr">
        <is>
          <t>120 (+180)</t>
        </is>
      </c>
      <c r="D18" s="18" t="inlineStr">
        <is>
          <t>Après licence / professorat de lycée</t>
        </is>
      </c>
    </row>
    <row r="19">
      <c r="A19" s="4" t="inlineStr">
        <is>
          <t>Doctorat (STAPS / STASE — recherche)</t>
        </is>
      </c>
      <c r="B19" s="4" t="inlineStr">
        <is>
          <t>BAC+8</t>
        </is>
      </c>
      <c r="C19" s="4" t="inlineStr">
        <is>
          <t>—</t>
        </is>
      </c>
      <c r="D19" s="4" t="inlineStr">
        <is>
          <t>Après master</t>
        </is>
      </c>
    </row>
    <row r="21">
      <c r="A21" s="14" t="inlineStr">
        <is>
          <t>Grades de carrière préparés (cycle professionnel)</t>
        </is>
      </c>
    </row>
    <row r="22">
      <c r="A22" s="20" t="inlineStr">
        <is>
          <t>Voie EPS :</t>
        </is>
      </c>
      <c r="B22" s="4" t="inlineStr">
        <is>
          <t>Maîtrise d'EPS → Professorat professionnel d'EPS (DECEPS) → Professorat certifié (CAPEPS) → Conseillat d'EPS (CAMEPS) → Inspectorat pédagogique / Inspectorat Jeunesse et Sport → Agrégation</t>
        </is>
      </c>
    </row>
    <row r="23">
      <c r="A23" s="20" t="inlineStr">
        <is>
          <t>Voie EP :</t>
        </is>
      </c>
      <c r="B23" s="4" t="inlineStr">
        <is>
          <t>Maîtrise adjointe d'EP → Maîtrise d'EP → Professorat professionnel d'EP (DECEP) → Professorat certifié (CAPEP) → Conseillat d'EP (CAMEP) → Inspectorat pédagogique EP / IJS option EP → Agrégation</t>
        </is>
      </c>
    </row>
    <row r="25">
      <c r="A25" s="20" t="inlineStr">
        <is>
          <t>Diplômes / certificats :</t>
        </is>
      </c>
      <c r="B25" s="4" t="inlineStr">
        <is>
          <t>CAMEPS / CAMEP (Certificat d'Aptitude à la Maîtrise) ; CAPEPS / CAPEP (Certificat d'Aptitude au Professorat) ; DECEPS / DECEP (Diplôme d'Études Certifiées) ; Agrégation de l'enseignement secondaire ; BNS — Brevet National de Secourisme (niveaux 2-3) ; Brevets/diplômes fédéraux d'entraîneur 1, 2, 3 ; Attestation de fin de formation.</t>
        </is>
      </c>
      <c r="C25" s="21" t="n"/>
      <c r="D25" s="22" t="n"/>
    </row>
  </sheetData>
  <mergeCells count="1">
    <mergeCell ref="B25:D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52" customWidth="1" min="1" max="1"/>
    <col width="85" customWidth="1" min="2" max="2"/>
    <col width="18" customWidth="1" min="3" max="3"/>
  </cols>
  <sheetData>
    <row r="1">
      <c r="A1" s="13" t="inlineStr">
        <is>
          <t>11. MAQUETTE « ÉDUCATION ET MOTRICITÉ (EM) » — ENSEPS — filière STAPS</t>
        </is>
      </c>
    </row>
    <row r="2">
      <c r="A2" s="19" t="inlineStr">
        <is>
          <t>UE = Unité d'Enseignement ; ECUE = Élément Constitutif d'UE ; CECT = crédits. Chaque semestre = 30 crédits.</t>
        </is>
      </c>
    </row>
    <row r="4">
      <c r="A4" s="23" t="inlineStr">
        <is>
          <t>🎓 PARCOURS LICENCE</t>
        </is>
      </c>
      <c r="B4" s="24" t="n"/>
      <c r="C4" s="24" t="n"/>
      <c r="D4" s="24" t="n"/>
    </row>
    <row r="5">
      <c r="A5" s="25" t="inlineStr">
        <is>
          <t>Semestre 1</t>
        </is>
      </c>
    </row>
    <row r="6">
      <c r="A6" s="26" t="inlineStr">
        <is>
          <t>UE</t>
        </is>
      </c>
      <c r="B6" s="26" t="inlineStr">
        <is>
          <t>ECUE (contenu des enseignements)</t>
        </is>
      </c>
      <c r="C6" s="26" t="inlineStr">
        <is>
          <t>Crédits CECT/UE</t>
        </is>
      </c>
    </row>
    <row r="7">
      <c r="A7" s="4" t="inlineStr">
        <is>
          <t>Sciences de la vie et de la santé</t>
        </is>
      </c>
      <c r="B7" s="4" t="inlineStr">
        <is>
          <t>ECUE 1 : Anatomie descriptive du squelette appendiculaire ; ECUE 2 : Anatomie fonctionnelle du corps humain</t>
        </is>
      </c>
      <c r="C7" s="16" t="n">
        <v>6</v>
      </c>
    </row>
    <row r="8">
      <c r="A8" s="4" t="inlineStr">
        <is>
          <t>Sciences humaines et sociales</t>
        </is>
      </c>
      <c r="B8" s="4" t="inlineStr">
        <is>
          <t>ECUE 1 : Introduction à la psychologie générale ; ECUE 2 : Psychologie de l'apprentissage et du développement</t>
        </is>
      </c>
      <c r="C8" s="16" t="n">
        <v>4</v>
      </c>
    </row>
    <row r="9">
      <c r="A9" s="4" t="inlineStr">
        <is>
          <t>Sciences de l'intervention</t>
        </is>
      </c>
      <c r="B9" s="4" t="inlineStr">
        <is>
          <t>Concepts de base en intervention des APS</t>
        </is>
      </c>
      <c r="C9" s="16" t="n">
        <v>2</v>
      </c>
    </row>
    <row r="10">
      <c r="A10" s="4" t="inlineStr">
        <is>
          <t>Initiation aux fondamentaux du football</t>
        </is>
      </c>
      <c r="B10" s="4" t="inlineStr">
        <is>
          <t>Football : Fondamentaux</t>
        </is>
      </c>
      <c r="C10" s="16" t="n">
        <v>3</v>
      </c>
    </row>
    <row r="11">
      <c r="A11" s="4" t="inlineStr">
        <is>
          <t>Initiation aux fondamentaux du handball</t>
        </is>
      </c>
      <c r="B11" s="4" t="inlineStr">
        <is>
          <t>Handball : Fondamentaux</t>
        </is>
      </c>
      <c r="C11" s="16" t="n">
        <v>3</v>
      </c>
    </row>
    <row r="12">
      <c r="A12" s="4" t="inlineStr">
        <is>
          <t>Initiation aux fondamentaux de la gymnastique</t>
        </is>
      </c>
      <c r="B12" s="4" t="inlineStr">
        <is>
          <t>Gymnastique : Fondamentaux</t>
        </is>
      </c>
      <c r="C12" s="16" t="n">
        <v>2</v>
      </c>
    </row>
    <row r="13">
      <c r="A13" s="4" t="inlineStr">
        <is>
          <t>Initiation aux fondamentaux de l'athlétisme</t>
        </is>
      </c>
      <c r="B13" s="4" t="inlineStr">
        <is>
          <t>Fondamentaux des courses et des sauts</t>
        </is>
      </c>
      <c r="C13" s="16" t="n">
        <v>3</v>
      </c>
    </row>
    <row r="14">
      <c r="A14" s="4" t="inlineStr">
        <is>
          <t>Spécialisation théorique et pratique dans une APS</t>
        </is>
      </c>
      <c r="B14" s="4" t="inlineStr">
        <is>
          <t>APS de spécialité (choix d'un sport de spécialité)</t>
        </is>
      </c>
      <c r="C14" s="16" t="n">
        <v>3</v>
      </c>
    </row>
    <row r="15">
      <c r="A15" s="4" t="inlineStr">
        <is>
          <t>Techniques de communication écrite et orale</t>
        </is>
      </c>
      <c r="B15" s="4" t="inlineStr">
        <is>
          <t>ECUE 1 : Étude des styles de rédaction en langue française ; ECUE 2 : Anglais : vocabulaire du sport</t>
        </is>
      </c>
      <c r="C15" s="16" t="n">
        <v>4</v>
      </c>
    </row>
    <row r="16">
      <c r="B16" s="20" t="inlineStr">
        <is>
          <t>TOTAL Semestre 1</t>
        </is>
      </c>
      <c r="C16" s="27" t="n">
        <v>30</v>
      </c>
    </row>
    <row r="18">
      <c r="A18" s="25" t="inlineStr">
        <is>
          <t>Semestre 2</t>
        </is>
      </c>
    </row>
    <row r="19">
      <c r="A19" s="26" t="inlineStr">
        <is>
          <t>UE</t>
        </is>
      </c>
      <c r="B19" s="26" t="inlineStr">
        <is>
          <t>ECUE (contenu des enseignements)</t>
        </is>
      </c>
      <c r="C19" s="26" t="inlineStr">
        <is>
          <t>Crédits CECT/UE</t>
        </is>
      </c>
    </row>
    <row r="20">
      <c r="A20" s="4" t="inlineStr">
        <is>
          <t>Sciences de la vie et de la santé</t>
        </is>
      </c>
      <c r="B20" s="4" t="inlineStr">
        <is>
          <t>ECUE 1 : Physiologie neuromusculaire, métabolisme et APS ; ECUE 2 : Physiologie des grandes fonctions</t>
        </is>
      </c>
      <c r="C20" s="16" t="n">
        <v>6</v>
      </c>
    </row>
    <row r="21">
      <c r="A21" s="4" t="inlineStr">
        <is>
          <t>Sciences humaines et sociales 1</t>
        </is>
      </c>
      <c r="B21" s="4" t="inlineStr">
        <is>
          <t>ECUE 1 : Introduction à la sociologie ; ECUE 2 : Sociologie du jeu et des APS</t>
        </is>
      </c>
      <c r="C21" s="16" t="n">
        <v>4</v>
      </c>
    </row>
    <row r="22">
      <c r="A22" s="4" t="inlineStr">
        <is>
          <t>Initiation aux fondamentaux du rugby</t>
        </is>
      </c>
      <c r="B22" s="4" t="inlineStr">
        <is>
          <t>Rugby : Fondamentaux</t>
        </is>
      </c>
      <c r="C22" s="16" t="n">
        <v>3</v>
      </c>
    </row>
    <row r="23">
      <c r="A23" s="4" t="inlineStr">
        <is>
          <t>Initiation aux fondamentaux du basketball</t>
        </is>
      </c>
      <c r="B23" s="4" t="inlineStr">
        <is>
          <t>Basketball : Fondamentaux</t>
        </is>
      </c>
      <c r="C23" s="16" t="n">
        <v>3</v>
      </c>
    </row>
    <row r="24">
      <c r="A24" s="4" t="inlineStr">
        <is>
          <t>Initiation aux fondamentaux de la gymnastique II</t>
        </is>
      </c>
      <c r="B24" s="4" t="inlineStr">
        <is>
          <t>Gymnastique 2 : fondamentaux</t>
        </is>
      </c>
      <c r="C24" s="16" t="n">
        <v>3</v>
      </c>
    </row>
    <row r="25">
      <c r="A25" s="4" t="inlineStr">
        <is>
          <t>Initiation aux fondamentaux de l'athlétisme II</t>
        </is>
      </c>
      <c r="B25" s="4" t="inlineStr">
        <is>
          <t>Fondamentaux des courses de vitesse et des lancers</t>
        </is>
      </c>
      <c r="C25" s="16" t="n">
        <v>3</v>
      </c>
    </row>
    <row r="26">
      <c r="A26" s="4" t="inlineStr">
        <is>
          <t>Spécialisation théorique et pratique dans une APS</t>
        </is>
      </c>
      <c r="B26" s="4" t="inlineStr">
        <is>
          <t>APS de spécialité (choix d'un sport de spécialité)</t>
        </is>
      </c>
      <c r="C26" s="16" t="n">
        <v>3</v>
      </c>
    </row>
    <row r="27">
      <c r="A27" s="4" t="inlineStr">
        <is>
          <t>Initiation à l'environnement des TIC</t>
        </is>
      </c>
      <c r="B27" s="4" t="inlineStr">
        <is>
          <t>Formation à Microsoft Office Word</t>
        </is>
      </c>
      <c r="C27" s="16" t="n">
        <v>1</v>
      </c>
    </row>
    <row r="28">
      <c r="A28" s="4" t="inlineStr">
        <is>
          <t>Techniques de communication écrite et orale</t>
        </is>
      </c>
      <c r="B28" s="4" t="inlineStr">
        <is>
          <t>ECUE 1 : Anglais : communication orale (People and places) ; ECUE 2 : Français : expression orale et prise de parole en public</t>
        </is>
      </c>
      <c r="C28" s="16" t="n">
        <v>4</v>
      </c>
    </row>
    <row r="29">
      <c r="B29" s="20" t="inlineStr">
        <is>
          <t>TOTAL Semestre 2</t>
        </is>
      </c>
      <c r="C29" s="27" t="n">
        <v>30</v>
      </c>
    </row>
    <row r="31">
      <c r="A31" s="25" t="inlineStr">
        <is>
          <t>Semestre 3</t>
        </is>
      </c>
    </row>
    <row r="32">
      <c r="A32" s="26" t="inlineStr">
        <is>
          <t>UE</t>
        </is>
      </c>
      <c r="B32" s="26" t="inlineStr">
        <is>
          <t>ECUE (contenu des enseignements)</t>
        </is>
      </c>
      <c r="C32" s="26" t="inlineStr">
        <is>
          <t>Crédits CECT/UE</t>
        </is>
      </c>
    </row>
    <row r="33">
      <c r="A33" s="4" t="inlineStr">
        <is>
          <t>Sciences de la vie et de la santé</t>
        </is>
      </c>
      <c r="B33" s="4" t="inlineStr">
        <is>
          <t>ECUE 1 : Nutrition et APS ; ECUE 2 : Biomécanique du geste</t>
        </is>
      </c>
      <c r="C33" s="16" t="n">
        <v>4</v>
      </c>
    </row>
    <row r="34">
      <c r="A34" s="4" t="inlineStr">
        <is>
          <t>Sciences humaines et sociales appliquées aux APS</t>
        </is>
      </c>
      <c r="B34" s="4" t="inlineStr">
        <is>
          <t>Histoire du sport : naissance et développement du sport moderne</t>
        </is>
      </c>
      <c r="C34" s="16" t="n">
        <v>2</v>
      </c>
    </row>
    <row r="35">
      <c r="A35" s="4" t="inlineStr">
        <is>
          <t>Connaissances institutionnelles du sport</t>
        </is>
      </c>
      <c r="B35" s="4" t="inlineStr">
        <is>
          <t>Connaissances institutionnelles et législatives de l'organisation du sport</t>
        </is>
      </c>
      <c r="C35" s="16" t="n">
        <v>2</v>
      </c>
    </row>
    <row r="36">
      <c r="A36" s="4" t="inlineStr">
        <is>
          <t>Initiation aux fondamentaux du volleyball</t>
        </is>
      </c>
      <c r="B36" s="4" t="inlineStr">
        <is>
          <t>Volleyball : Fondamentaux</t>
        </is>
      </c>
      <c r="C36" s="16" t="n">
        <v>3</v>
      </c>
    </row>
    <row r="37">
      <c r="A37" s="4" t="inlineStr">
        <is>
          <t>Initiation aux sports de combat de préhension</t>
        </is>
      </c>
      <c r="B37" s="4" t="inlineStr">
        <is>
          <t>Judo : Fondamentaux ; Lutte : Fondamentaux</t>
        </is>
      </c>
      <c r="C37" s="16" t="n">
        <v>2</v>
      </c>
    </row>
    <row r="38">
      <c r="A38" s="4" t="inlineStr">
        <is>
          <t>Initiation aux sports de combat de percussion</t>
        </is>
      </c>
      <c r="B38" s="4" t="inlineStr">
        <is>
          <t>Boxe : Fondamentaux ; Taekwondo : Fondamentaux</t>
        </is>
      </c>
      <c r="C38" s="16" t="n">
        <v>2</v>
      </c>
    </row>
    <row r="39">
      <c r="A39" s="4" t="inlineStr">
        <is>
          <t>Initiation aux sports d'entretien et santé</t>
        </is>
      </c>
      <c r="B39" s="4" t="inlineStr">
        <is>
          <t>Fitness et Conditionnement physique</t>
        </is>
      </c>
      <c r="C39" s="16" t="n">
        <v>2</v>
      </c>
    </row>
    <row r="40">
      <c r="A40" s="4" t="inlineStr">
        <is>
          <t>Matérialisation des plateaux de pratique des APS et performance</t>
        </is>
      </c>
      <c r="B40" s="4" t="inlineStr">
        <is>
          <t>Techniques de traçage des aires de pratique sportive et utilisation des instruments de mesure de la performance</t>
        </is>
      </c>
      <c r="C40" s="16" t="n">
        <v>3</v>
      </c>
    </row>
    <row r="41">
      <c r="A41" s="4" t="inlineStr">
        <is>
          <t>Spécialisation théorique et pratique dans une APS</t>
        </is>
      </c>
      <c r="B41" s="4" t="inlineStr">
        <is>
          <t>APS de spécialité (choix d'un sport de spécialité)</t>
        </is>
      </c>
      <c r="C41" s="16" t="n">
        <v>3</v>
      </c>
    </row>
    <row r="42">
      <c r="A42" s="4" t="inlineStr">
        <is>
          <t>Pré-professionnalisation</t>
        </is>
      </c>
      <c r="B42" s="4" t="inlineStr">
        <is>
          <t>Stage pédagogique au primaire : animation sportive 1re étape</t>
        </is>
      </c>
      <c r="C42" s="16" t="n">
        <v>3</v>
      </c>
    </row>
    <row r="43">
      <c r="A43" s="4" t="inlineStr">
        <is>
          <t>Techniques d'expression écrite et orale</t>
        </is>
      </c>
      <c r="B43" s="4" t="inlineStr">
        <is>
          <t>ECUE 1 : Anglais : communication orale (People and places : sport) ; ECUE 2 : Français : expression orale et prise de parole en public</t>
        </is>
      </c>
      <c r="C43" s="16" t="n">
        <v>4</v>
      </c>
    </row>
    <row r="44">
      <c r="B44" s="20" t="inlineStr">
        <is>
          <t>TOTAL Semestre 3</t>
        </is>
      </c>
      <c r="C44" s="27" t="n">
        <v>30</v>
      </c>
    </row>
    <row r="46">
      <c r="A46" s="25" t="inlineStr">
        <is>
          <t>Semestre 4</t>
        </is>
      </c>
    </row>
    <row r="47">
      <c r="A47" s="26" t="inlineStr">
        <is>
          <t>UE</t>
        </is>
      </c>
      <c r="B47" s="26" t="inlineStr">
        <is>
          <t>ECUE (contenu des enseignements)</t>
        </is>
      </c>
      <c r="C47" s="26" t="inlineStr">
        <is>
          <t>Crédits CECT/UE</t>
        </is>
      </c>
    </row>
    <row r="48">
      <c r="A48" s="4" t="inlineStr">
        <is>
          <t>Connaissances institutionnelles des systèmes éducatifs</t>
        </is>
      </c>
      <c r="B48" s="4" t="inlineStr">
        <is>
          <t>ECUE 1 : Structure et fonctionnement du système éducatif ivoirien ; ECUE 2 : Histoire de l'EPS : courants pédagogiques</t>
        </is>
      </c>
      <c r="C48" s="16" t="n">
        <v>4</v>
      </c>
    </row>
    <row r="49">
      <c r="A49" s="4" t="inlineStr">
        <is>
          <t>Intervention en APS</t>
        </is>
      </c>
      <c r="B49" s="4" t="inlineStr">
        <is>
          <t>ECUE 1 : Apprentissages moteurs ; ECUE 2 : Conception et planification de séance en animation sportive au primaire</t>
        </is>
      </c>
      <c r="C49" s="16" t="n">
        <v>4</v>
      </c>
    </row>
    <row r="50">
      <c r="A50" s="4" t="inlineStr">
        <is>
          <t>Aspects pédagogiques du football</t>
        </is>
      </c>
      <c r="B50" s="4" t="inlineStr">
        <is>
          <t>Pédagogie du football : familiarisation et initiation</t>
        </is>
      </c>
      <c r="C50" s="16" t="n">
        <v>3</v>
      </c>
    </row>
    <row r="51">
      <c r="A51" s="4" t="inlineStr">
        <is>
          <t>Aspects pédagogiques du handball</t>
        </is>
      </c>
      <c r="B51" s="4" t="inlineStr">
        <is>
          <t>Pédagogie du handball : familiarisation et initiation</t>
        </is>
      </c>
      <c r="C51" s="16" t="n">
        <v>3</v>
      </c>
    </row>
    <row r="52">
      <c r="A52" s="4" t="inlineStr">
        <is>
          <t>Aspects pédagogiques des sports d'expression corporelle</t>
        </is>
      </c>
      <c r="B52" s="4" t="inlineStr">
        <is>
          <t>Pédagogie de la gymnastique : familiarisation et initiation</t>
        </is>
      </c>
      <c r="C52" s="16" t="n">
        <v>3</v>
      </c>
    </row>
    <row r="53">
      <c r="A53" s="4" t="inlineStr">
        <is>
          <t>Aspects pédagogiques de l'athlétisme</t>
        </is>
      </c>
      <c r="B53" s="4" t="inlineStr">
        <is>
          <t>Pédagogie de l'athlétisme : familiarisation et initiation</t>
        </is>
      </c>
      <c r="C53" s="16" t="n">
        <v>3</v>
      </c>
    </row>
    <row r="54">
      <c r="A54" s="4" t="inlineStr">
        <is>
          <t>Spécialisation théorique et pratique dans une APS</t>
        </is>
      </c>
      <c r="B54" s="4" t="inlineStr">
        <is>
          <t>APS de spécialité</t>
        </is>
      </c>
      <c r="C54" s="16" t="n">
        <v>2</v>
      </c>
    </row>
    <row r="55">
      <c r="A55" s="4" t="inlineStr">
        <is>
          <t>Pré-professionnalisation</t>
        </is>
      </c>
      <c r="B55" s="4" t="inlineStr">
        <is>
          <t>Stage pédagogique au primaire : animation sportive 2e étape</t>
        </is>
      </c>
      <c r="C55" s="16" t="n">
        <v>3</v>
      </c>
    </row>
    <row r="56">
      <c r="A56" s="4" t="inlineStr">
        <is>
          <t>Méthodologie et outils</t>
        </is>
      </c>
      <c r="B56" s="4" t="inlineStr">
        <is>
          <t>Introduction à la méthodologie de la recherche scientifique : projet de recherche</t>
        </is>
      </c>
      <c r="C56" s="16" t="n">
        <v>3</v>
      </c>
    </row>
    <row r="57">
      <c r="A57" s="4" t="inlineStr">
        <is>
          <t>Techniques d'expression écrite et orale</t>
        </is>
      </c>
      <c r="B57" s="4" t="inlineStr">
        <is>
          <t>Anglais : communication orale (People and places : sport) 2</t>
        </is>
      </c>
      <c r="C57" s="16" t="n">
        <v>2</v>
      </c>
    </row>
    <row r="58">
      <c r="B58" s="20" t="inlineStr">
        <is>
          <t>TOTAL Semestre 4</t>
        </is>
      </c>
      <c r="C58" s="27" t="n">
        <v>30</v>
      </c>
    </row>
    <row r="60">
      <c r="A60" s="25" t="inlineStr">
        <is>
          <t>Semestre 5</t>
        </is>
      </c>
    </row>
    <row r="61">
      <c r="A61" s="26" t="inlineStr">
        <is>
          <t>UE</t>
        </is>
      </c>
      <c r="B61" s="26" t="inlineStr">
        <is>
          <t>ECUE (contenu des enseignements)</t>
        </is>
      </c>
      <c r="C61" s="26" t="inlineStr">
        <is>
          <t>Crédits CECT/UE</t>
        </is>
      </c>
    </row>
    <row r="62">
      <c r="A62" s="4" t="inlineStr">
        <is>
          <t>Intervention en APS</t>
        </is>
      </c>
      <c r="B62" s="4" t="inlineStr">
        <is>
          <t>Conception et planification de l'enseignement de l'EPS au secondaire</t>
        </is>
      </c>
      <c r="C62" s="16" t="n">
        <v>3</v>
      </c>
    </row>
    <row r="63">
      <c r="A63" s="4" t="inlineStr">
        <is>
          <t>Aspects pédagogiques du handball</t>
        </is>
      </c>
      <c r="B63" s="4" t="inlineStr">
        <is>
          <t>Pédagogie du handball : familiarisation et initiation</t>
        </is>
      </c>
      <c r="C63" s="16" t="n">
        <v>3</v>
      </c>
    </row>
    <row r="64">
      <c r="A64" s="4" t="inlineStr">
        <is>
          <t>Aspects pédagogiques du basketball</t>
        </is>
      </c>
      <c r="B64" s="4" t="inlineStr">
        <is>
          <t>Pédagogie du basketball : familiarisation et initiation</t>
        </is>
      </c>
      <c r="C64" s="16" t="n">
        <v>3</v>
      </c>
    </row>
    <row r="65">
      <c r="A65" s="4" t="inlineStr">
        <is>
          <t>Aspects pédagogiques du rugby</t>
        </is>
      </c>
      <c r="B65" s="4" t="inlineStr">
        <is>
          <t>Pédagogie du rugby : familiarisation et initiation</t>
        </is>
      </c>
      <c r="C65" s="16" t="n">
        <v>3</v>
      </c>
    </row>
    <row r="66">
      <c r="A66" s="4" t="inlineStr">
        <is>
          <t>Aspects pédagogiques du volleyball</t>
        </is>
      </c>
      <c r="B66" s="4" t="inlineStr">
        <is>
          <t>Pédagogie du volleyball : familiarisation</t>
        </is>
      </c>
      <c r="C66" s="16" t="n">
        <v>3</v>
      </c>
    </row>
    <row r="67">
      <c r="A67" s="4" t="inlineStr">
        <is>
          <t>Aspects pédagogiques de l'athlétisme</t>
        </is>
      </c>
      <c r="B67" s="4" t="inlineStr">
        <is>
          <t>Pédagogie de l'athlétisme : familiarisation et initiation</t>
        </is>
      </c>
      <c r="C67" s="16" t="n">
        <v>3</v>
      </c>
    </row>
    <row r="68">
      <c r="A68" s="4" t="inlineStr">
        <is>
          <t>Spécialisation théorique et pratique dans une APS</t>
        </is>
      </c>
      <c r="B68" s="4" t="inlineStr">
        <is>
          <t>APS de spécialité</t>
        </is>
      </c>
      <c r="C68" s="16" t="n">
        <v>3</v>
      </c>
    </row>
    <row r="69">
      <c r="A69" s="4" t="inlineStr">
        <is>
          <t>Aspects pédagogiques du football</t>
        </is>
      </c>
      <c r="B69" s="4" t="inlineStr">
        <is>
          <t>Pédagogie du football : familiarisation et initiation</t>
        </is>
      </c>
      <c r="C69" s="16" t="n">
        <v>2</v>
      </c>
    </row>
    <row r="70">
      <c r="A70" s="4" t="inlineStr">
        <is>
          <t>Méthodologie</t>
        </is>
      </c>
      <c r="B70" s="4" t="inlineStr">
        <is>
          <t>Initiation à la méthodologie de la recherche scientifique : cadre méthodologique</t>
        </is>
      </c>
      <c r="C70" s="16" t="n">
        <v>3</v>
      </c>
    </row>
    <row r="71">
      <c r="A71" s="4" t="inlineStr">
        <is>
          <t>Life Skills</t>
        </is>
      </c>
      <c r="B71" s="4" t="inlineStr">
        <is>
          <t>ECUE 1 : Adolescence : éthique et morale en milieu scolaire ; ECUE 2 : Culture civique</t>
        </is>
      </c>
      <c r="C71" s="16" t="n">
        <v>2</v>
      </c>
    </row>
    <row r="72">
      <c r="A72" s="4" t="inlineStr">
        <is>
          <t>Techniques d'expression écrite et orale</t>
        </is>
      </c>
      <c r="B72" s="4" t="inlineStr">
        <is>
          <t>Anglais : communication orale</t>
        </is>
      </c>
      <c r="C72" s="16" t="n">
        <v>2</v>
      </c>
    </row>
    <row r="73">
      <c r="B73" s="20" t="inlineStr">
        <is>
          <t>TOTAL Semestre 5</t>
        </is>
      </c>
      <c r="C73" s="27" t="n">
        <v>30</v>
      </c>
    </row>
    <row r="75">
      <c r="A75" s="25" t="inlineStr">
        <is>
          <t>Semestre 6</t>
        </is>
      </c>
    </row>
    <row r="76">
      <c r="A76" s="26" t="inlineStr">
        <is>
          <t>UE</t>
        </is>
      </c>
      <c r="B76" s="26" t="inlineStr">
        <is>
          <t>ECUE (contenu des enseignements)</t>
        </is>
      </c>
      <c r="C76" s="26" t="inlineStr">
        <is>
          <t>Crédits CECT/UE</t>
        </is>
      </c>
    </row>
    <row r="77">
      <c r="A77" s="4" t="inlineStr">
        <is>
          <t>Intervention en APS : interaction</t>
        </is>
      </c>
      <c r="B77" s="4" t="inlineStr">
        <is>
          <t>Analyse des variables de l'interaction en EPS</t>
        </is>
      </c>
      <c r="C77" s="16" t="n">
        <v>2</v>
      </c>
    </row>
    <row r="78">
      <c r="A78" s="4" t="inlineStr">
        <is>
          <t>Intervention en APS : mesure et évaluation</t>
        </is>
      </c>
      <c r="B78" s="4" t="inlineStr">
        <is>
          <t>Application des théories de mesure et évaluation en EPS</t>
        </is>
      </c>
      <c r="C78" s="16" t="n">
        <v>2</v>
      </c>
    </row>
    <row r="79">
      <c r="A79" s="4" t="inlineStr">
        <is>
          <t>Aspects pédagogiques du volleyball</t>
        </is>
      </c>
      <c r="B79" s="4" t="inlineStr">
        <is>
          <t>Pédagogie du volleyball : initiation</t>
        </is>
      </c>
      <c r="C79" s="16" t="n">
        <v>3</v>
      </c>
    </row>
    <row r="80">
      <c r="A80" s="4" t="inlineStr">
        <is>
          <t>Aspects pédagogiques de la gymnastique</t>
        </is>
      </c>
      <c r="B80" s="4" t="inlineStr">
        <is>
          <t>Pédagogie de la gymnastique : initiation</t>
        </is>
      </c>
      <c r="C80" s="16" t="n">
        <v>2</v>
      </c>
    </row>
    <row r="81">
      <c r="A81" s="4" t="inlineStr">
        <is>
          <t>Aspects pédagogiques de l'athlétisme</t>
        </is>
      </c>
      <c r="B81" s="4" t="inlineStr">
        <is>
          <t>Pédagogie de l'athlétisme : initiation</t>
        </is>
      </c>
      <c r="C81" s="16" t="n">
        <v>3</v>
      </c>
    </row>
    <row r="82">
      <c r="A82" s="4" t="inlineStr">
        <is>
          <t>Aspects pédagogiques du basketball</t>
        </is>
      </c>
      <c r="B82" s="4" t="inlineStr">
        <is>
          <t>Pédagogie du basketball : familiarisation et initiation</t>
        </is>
      </c>
      <c r="C82" s="16" t="n">
        <v>3</v>
      </c>
    </row>
    <row r="83">
      <c r="A83" s="4" t="inlineStr">
        <is>
          <t>Aspects pédagogiques du rugby</t>
        </is>
      </c>
      <c r="B83" s="4" t="inlineStr">
        <is>
          <t>Pédagogie du rugby : familiarisation et initiation</t>
        </is>
      </c>
      <c r="C83" s="16" t="n">
        <v>3</v>
      </c>
    </row>
    <row r="84">
      <c r="A84" s="4" t="inlineStr">
        <is>
          <t>Spécialisation théorique et pratique dans une APS</t>
        </is>
      </c>
      <c r="B84" s="4" t="inlineStr">
        <is>
          <t>Théorie et pratique de l'entraînement de l'APS de spécialité</t>
        </is>
      </c>
      <c r="C84" s="16" t="n">
        <v>2</v>
      </c>
    </row>
    <row r="85">
      <c r="A85" s="4" t="inlineStr">
        <is>
          <t>Traumatologie du sport</t>
        </is>
      </c>
      <c r="B85" s="4" t="inlineStr">
        <is>
          <t>Étude des pathologies liées à la pratique du sport et leurs traitements</t>
        </is>
      </c>
      <c r="C85" s="16" t="n">
        <v>2</v>
      </c>
    </row>
    <row r="86">
      <c r="A86" s="4" t="inlineStr">
        <is>
          <t>Pré-professionnalisation</t>
        </is>
      </c>
      <c r="B86" s="4" t="inlineStr">
        <is>
          <t>Stage pédagogique dans un établissement d'enseignement secondaire</t>
        </is>
      </c>
      <c r="C86" s="16" t="n">
        <v>3</v>
      </c>
    </row>
    <row r="87">
      <c r="A87" s="4" t="inlineStr">
        <is>
          <t>Formation à la recherche scientifique</t>
        </is>
      </c>
      <c r="B87" s="4" t="inlineStr">
        <is>
          <t>Séminaire de recherche : élaboration de projet de mémoire</t>
        </is>
      </c>
      <c r="C87" s="16" t="n">
        <v>3</v>
      </c>
    </row>
    <row r="88">
      <c r="A88" s="4" t="inlineStr">
        <is>
          <t>Techniques d'expression écrite et orale</t>
        </is>
      </c>
      <c r="B88" s="4" t="inlineStr">
        <is>
          <t>Anglais : communication orale</t>
        </is>
      </c>
      <c r="C88" s="16" t="n">
        <v>2</v>
      </c>
    </row>
    <row r="89">
      <c r="B89" s="20" t="inlineStr">
        <is>
          <t>TOTAL Semestre 6</t>
        </is>
      </c>
      <c r="C89" s="27" t="n">
        <v>30</v>
      </c>
    </row>
    <row r="91">
      <c r="A91" s="28" t="inlineStr">
        <is>
          <t>TOTAL LICENCE : 180 crédits</t>
        </is>
      </c>
    </row>
    <row r="93">
      <c r="A93" s="23" t="inlineStr">
        <is>
          <t>🎓 PARCOURS MASTER</t>
        </is>
      </c>
      <c r="B93" s="24" t="n"/>
      <c r="C93" s="24" t="n"/>
      <c r="D93" s="24" t="n"/>
    </row>
    <row r="94">
      <c r="A94" s="25" t="inlineStr">
        <is>
          <t>Semestre 1 (M1/S7)</t>
        </is>
      </c>
    </row>
    <row r="95">
      <c r="A95" s="26" t="inlineStr">
        <is>
          <t>UE</t>
        </is>
      </c>
      <c r="B95" s="26" t="inlineStr">
        <is>
          <t>ECUE (contenu des enseignements)</t>
        </is>
      </c>
      <c r="C95" s="26" t="inlineStr">
        <is>
          <t>Crédits CECT/UE</t>
        </is>
      </c>
    </row>
    <row r="96">
      <c r="A96" s="4" t="inlineStr">
        <is>
          <t>Connaissances institutionnelles de l'éducation et du sport</t>
        </is>
      </c>
      <c r="B96" s="4" t="inlineStr">
        <is>
          <t>Systèmes éducatifs : réalités scolaires, éducatives et dispositifs institutionnels</t>
        </is>
      </c>
      <c r="C96" s="16" t="n">
        <v>3</v>
      </c>
    </row>
    <row r="97">
      <c r="A97" s="4" t="inlineStr">
        <is>
          <t>Connaissances psychosociologiques des APS</t>
        </is>
      </c>
      <c r="B97" s="4" t="inlineStr">
        <is>
          <t>Aspects psychosociologiques des APS</t>
        </is>
      </c>
      <c r="C97" s="16" t="n">
        <v>3</v>
      </c>
    </row>
    <row r="98">
      <c r="A98" s="4" t="inlineStr">
        <is>
          <t>Intervention en mesure et évaluation de l'EPS</t>
        </is>
      </c>
      <c r="B98" s="4" t="inlineStr">
        <is>
          <t>Mesure et évaluation de l'EPS</t>
        </is>
      </c>
      <c r="C98" s="16" t="n">
        <v>3</v>
      </c>
    </row>
    <row r="99">
      <c r="A99" s="4" t="inlineStr">
        <is>
          <t>Didactique de l'EPS</t>
        </is>
      </c>
      <c r="B99" s="4" t="inlineStr">
        <is>
          <t>Didactique de l'EPS : conception et analyse des situations d'enseignement-apprentissage</t>
        </is>
      </c>
      <c r="C99" s="16" t="n">
        <v>3</v>
      </c>
    </row>
    <row r="100">
      <c r="A100" s="4" t="inlineStr">
        <is>
          <t>Didactique des sports d'expression corporelle</t>
        </is>
      </c>
      <c r="B100" s="4" t="inlineStr">
        <is>
          <t>Didactique de la gymnastique</t>
        </is>
      </c>
      <c r="C100" s="16" t="n">
        <v>3</v>
      </c>
    </row>
    <row r="101">
      <c r="A101" s="4" t="inlineStr">
        <is>
          <t>Didactique des sports collectifs de petit terrain</t>
        </is>
      </c>
      <c r="B101" s="4" t="inlineStr">
        <is>
          <t>ECUE 1 : Didactique du handball ; ECUE 2 : Didactique du basketball</t>
        </is>
      </c>
      <c r="C101" s="16" t="n">
        <v>6</v>
      </c>
    </row>
    <row r="102">
      <c r="A102" s="4" t="inlineStr">
        <is>
          <t>Méthodologie</t>
        </is>
      </c>
      <c r="B102" s="4" t="inlineStr">
        <is>
          <t>Méthodologie de la recherche scientifique 1</t>
        </is>
      </c>
      <c r="C102" s="16" t="n">
        <v>3</v>
      </c>
    </row>
    <row r="103">
      <c r="A103" s="4" t="inlineStr">
        <is>
          <t>Formation à la recherche</t>
        </is>
      </c>
      <c r="B103" s="4" t="inlineStr">
        <is>
          <t>Séminaire de recherche en Éducation et Motricité</t>
        </is>
      </c>
      <c r="C103" s="16" t="n">
        <v>4</v>
      </c>
    </row>
    <row r="104">
      <c r="A104" s="4" t="inlineStr">
        <is>
          <t>Technique d'expression écrite et orale</t>
        </is>
      </c>
      <c r="B104" s="4" t="inlineStr">
        <is>
          <t>Anglais professionnel</t>
        </is>
      </c>
      <c r="C104" s="16" t="n">
        <v>2</v>
      </c>
    </row>
    <row r="105">
      <c r="B105" s="20" t="inlineStr">
        <is>
          <t>TOTAL Semestre 1 (M1/S7)</t>
        </is>
      </c>
      <c r="C105" s="27" t="n">
        <v>30</v>
      </c>
    </row>
    <row r="107">
      <c r="A107" s="25" t="inlineStr">
        <is>
          <t>Semestre 2 (M1/S8)</t>
        </is>
      </c>
    </row>
    <row r="108">
      <c r="A108" s="26" t="inlineStr">
        <is>
          <t>UE</t>
        </is>
      </c>
      <c r="B108" s="26" t="inlineStr">
        <is>
          <t>ECUE (contenu des enseignements)</t>
        </is>
      </c>
      <c r="C108" s="26" t="inlineStr">
        <is>
          <t>Crédits CECT/UE</t>
        </is>
      </c>
    </row>
    <row r="109">
      <c r="A109" s="4" t="inlineStr">
        <is>
          <t>Connaissances psychologiques des APS</t>
        </is>
      </c>
      <c r="B109" s="4" t="inlineStr">
        <is>
          <t>Gestion des émotions et stratégies de motivation dans la conduite des séances d'EPS</t>
        </is>
      </c>
      <c r="C109" s="16" t="n">
        <v>2</v>
      </c>
    </row>
    <row r="110">
      <c r="A110" s="4" t="inlineStr">
        <is>
          <t>Intervention en EPS</t>
        </is>
      </c>
      <c r="B110" s="4" t="inlineStr">
        <is>
          <t>Enseignement de l'EPS et connaissances disciplinaires : préparation à l'écrit de pédagogie 1</t>
        </is>
      </c>
      <c r="C110" s="16" t="n">
        <v>3</v>
      </c>
    </row>
    <row r="111">
      <c r="A111" s="4" t="inlineStr">
        <is>
          <t>Didactique des sports collectifs de renvoi</t>
        </is>
      </c>
      <c r="B111" s="4" t="inlineStr">
        <is>
          <t>Didactique du volleyball</t>
        </is>
      </c>
      <c r="C111" s="16" t="n">
        <v>3</v>
      </c>
    </row>
    <row r="112">
      <c r="A112" s="4" t="inlineStr">
        <is>
          <t>Didactique des sports athlétiques</t>
        </is>
      </c>
      <c r="B112" s="4" t="inlineStr">
        <is>
          <t>Didactique de l'athlétisme</t>
        </is>
      </c>
      <c r="C112" s="16" t="n">
        <v>3</v>
      </c>
    </row>
    <row r="113">
      <c r="A113" s="4" t="inlineStr">
        <is>
          <t>Didactique des sports collectifs de grand terrain</t>
        </is>
      </c>
      <c r="B113" s="4" t="inlineStr">
        <is>
          <t>ECUE 1 : Didactique du football ; ECUE 2 : Didactique du rugby</t>
        </is>
      </c>
      <c r="C113" s="16" t="n">
        <v>4</v>
      </c>
    </row>
    <row r="114">
      <c r="A114" s="4" t="inlineStr">
        <is>
          <t>Professionnalisation</t>
        </is>
      </c>
      <c r="B114" s="4" t="inlineStr">
        <is>
          <t>Stage dans un établissement d'enseignement secondaire ou supérieur</t>
        </is>
      </c>
      <c r="C114" s="16" t="n">
        <v>5</v>
      </c>
    </row>
    <row r="115">
      <c r="A115" s="4" t="inlineStr">
        <is>
          <t>Méthodologie de la recherche</t>
        </is>
      </c>
      <c r="B115" s="4" t="inlineStr">
        <is>
          <t>Méthodologie de la recherche scientifique 2 : conception des instruments de cueillette de données</t>
        </is>
      </c>
      <c r="C115" s="16" t="n">
        <v>2</v>
      </c>
    </row>
    <row r="116">
      <c r="A116" s="4" t="inlineStr">
        <is>
          <t>Formation à la recherche</t>
        </is>
      </c>
      <c r="B116" s="4" t="inlineStr">
        <is>
          <t>Séminaire de recherche en Éducation et Motricité</t>
        </is>
      </c>
      <c r="C116" s="16" t="n">
        <v>3</v>
      </c>
    </row>
    <row r="117">
      <c r="A117" s="4" t="inlineStr">
        <is>
          <t>Technique d'expression écrite et orale</t>
        </is>
      </c>
      <c r="B117" s="4" t="inlineStr">
        <is>
          <t>Anglais professionnel</t>
        </is>
      </c>
      <c r="C117" s="16" t="n">
        <v>2</v>
      </c>
    </row>
    <row r="118">
      <c r="A118" s="4" t="inlineStr">
        <is>
          <t>Administration publique et déontologie</t>
        </is>
      </c>
      <c r="B118" s="4" t="inlineStr">
        <is>
          <t>Rédaction et informations administratives</t>
        </is>
      </c>
      <c r="C118" s="16" t="n">
        <v>3</v>
      </c>
    </row>
    <row r="119">
      <c r="B119" s="20" t="inlineStr">
        <is>
          <t>TOTAL Semestre 2 (M1/S8)</t>
        </is>
      </c>
      <c r="C119" s="27" t="n">
        <v>30</v>
      </c>
    </row>
    <row r="121">
      <c r="A121" s="25" t="inlineStr">
        <is>
          <t>Semestre 3 (M2/S9)</t>
        </is>
      </c>
    </row>
    <row r="122">
      <c r="A122" s="26" t="inlineStr">
        <is>
          <t>UE</t>
        </is>
      </c>
      <c r="B122" s="26" t="inlineStr">
        <is>
          <t>ECUE (contenu des enseignements)</t>
        </is>
      </c>
      <c r="C122" s="26" t="inlineStr">
        <is>
          <t>Crédits CECT/UE</t>
        </is>
      </c>
    </row>
    <row r="123">
      <c r="A123" s="4" t="inlineStr">
        <is>
          <t>Professionnalisation</t>
        </is>
      </c>
      <c r="B123" s="4" t="inlineStr">
        <is>
          <t>Stage milieu professionnel</t>
        </is>
      </c>
      <c r="C123" s="16" t="n">
        <v>15</v>
      </c>
    </row>
    <row r="124">
      <c r="A124" s="4" t="inlineStr">
        <is>
          <t>Formation à la recherche</t>
        </is>
      </c>
      <c r="B124" s="4" t="inlineStr">
        <is>
          <t>Séminaire de recherche 3</t>
        </is>
      </c>
      <c r="C124" s="16" t="n">
        <v>7</v>
      </c>
    </row>
    <row r="125">
      <c r="A125" s="4" t="inlineStr">
        <is>
          <t>Méthodologie de la recherche</t>
        </is>
      </c>
      <c r="B125" s="4" t="inlineStr">
        <is>
          <t>ECUE 1 : Méthodologie de la recherche scientifique 3 : analyse des données et discussion ; ECUE 2 : Statistiques descriptives et inférentielles 2</t>
        </is>
      </c>
      <c r="C125" s="16" t="n">
        <v>8</v>
      </c>
    </row>
    <row r="126">
      <c r="B126" s="20" t="inlineStr">
        <is>
          <t>TOTAL Semestre 3 (M2/S9)</t>
        </is>
      </c>
      <c r="C126" s="27" t="n">
        <v>30</v>
      </c>
    </row>
    <row r="128">
      <c r="A128" s="25" t="inlineStr">
        <is>
          <t>Semestre 4 (M2/S10)</t>
        </is>
      </c>
    </row>
    <row r="129">
      <c r="A129" s="26" t="inlineStr">
        <is>
          <t>UE</t>
        </is>
      </c>
      <c r="B129" s="26" t="inlineStr">
        <is>
          <t>ECUE (contenu des enseignements)</t>
        </is>
      </c>
      <c r="C129" s="26" t="inlineStr">
        <is>
          <t>Crédits CECT/UE</t>
        </is>
      </c>
    </row>
    <row r="130">
      <c r="A130" s="4" t="inlineStr">
        <is>
          <t>Formation à la recherche</t>
        </is>
      </c>
      <c r="B130" s="4" t="inlineStr">
        <is>
          <t>Travaux de recherche : mémoire</t>
        </is>
      </c>
      <c r="C130" s="16" t="n">
        <v>15</v>
      </c>
    </row>
    <row r="131">
      <c r="A131" s="4" t="inlineStr">
        <is>
          <t>Formation professionnelle</t>
        </is>
      </c>
      <c r="B131" s="4" t="inlineStr">
        <is>
          <t>Stage milieu professionnel</t>
        </is>
      </c>
      <c r="C131" s="16" t="n">
        <v>15</v>
      </c>
    </row>
    <row r="132">
      <c r="B132" s="20" t="inlineStr">
        <is>
          <t>TOTAL Semestre 4 (M2/S10)</t>
        </is>
      </c>
      <c r="C132" s="27" t="n">
        <v>30</v>
      </c>
    </row>
    <row r="134">
      <c r="A134" s="28" t="inlineStr">
        <is>
          <t>TOTAL MASTER : 120 crédits</t>
        </is>
      </c>
    </row>
  </sheetData>
  <mergeCells count="12">
    <mergeCell ref="A5:D5"/>
    <mergeCell ref="A75:D75"/>
    <mergeCell ref="A18:D18"/>
    <mergeCell ref="A94:D94"/>
    <mergeCell ref="A31:D31"/>
    <mergeCell ref="A60:D60"/>
    <mergeCell ref="A4:D4"/>
    <mergeCell ref="A128:D128"/>
    <mergeCell ref="A107:D107"/>
    <mergeCell ref="A121:D121"/>
    <mergeCell ref="A46:D46"/>
    <mergeCell ref="A93:D9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52" customWidth="1" min="1" max="1"/>
    <col width="85" customWidth="1" min="2" max="2"/>
    <col width="18" customWidth="1" min="3" max="3"/>
  </cols>
  <sheetData>
    <row r="1">
      <c r="A1" s="13" t="inlineStr">
        <is>
          <t>11. MAQUETTE « MANAGEMENT DU SPORT (MS) » — ENSEPS — filière STAPS</t>
        </is>
      </c>
    </row>
    <row r="2">
      <c r="A2" s="19" t="inlineStr">
        <is>
          <t>UE = Unité d'Enseignement ; ECUE = Élément Constitutif d'UE ; CECT = crédits. Chaque semestre = 30 crédits.</t>
        </is>
      </c>
    </row>
    <row r="4">
      <c r="A4" s="23" t="inlineStr">
        <is>
          <t>🎓 PARCOURS LICENCE</t>
        </is>
      </c>
      <c r="B4" s="24" t="n"/>
      <c r="C4" s="24" t="n"/>
      <c r="D4" s="24" t="n"/>
    </row>
    <row r="5">
      <c r="A5" s="25" t="inlineStr">
        <is>
          <t>Semestre 1</t>
        </is>
      </c>
    </row>
    <row r="6">
      <c r="A6" s="26" t="inlineStr">
        <is>
          <t>UE</t>
        </is>
      </c>
      <c r="B6" s="26" t="inlineStr">
        <is>
          <t>ECUE (contenu des enseignements)</t>
        </is>
      </c>
      <c r="C6" s="26" t="inlineStr">
        <is>
          <t>Crédits CECT/UE</t>
        </is>
      </c>
    </row>
    <row r="7">
      <c r="A7" s="4" t="inlineStr">
        <is>
          <t>Sciences de la vie et de la santé</t>
        </is>
      </c>
      <c r="B7" s="4" t="inlineStr">
        <is>
          <t>ECUE 1 : Anatomie descriptive du squelette appendiculaire ; ECUE 2 : Anatomie fonctionnelle du corps humain</t>
        </is>
      </c>
      <c r="C7" s="16" t="n">
        <v>6</v>
      </c>
    </row>
    <row r="8">
      <c r="A8" s="4" t="inlineStr">
        <is>
          <t>Sciences humaines et sociales</t>
        </is>
      </c>
      <c r="B8" s="4" t="inlineStr">
        <is>
          <t>ECUE 1 : Introduction à la psychologie générale ; ECUE 2 : Psychologie de l'apprentissage et du développement</t>
        </is>
      </c>
      <c r="C8" s="16" t="n">
        <v>4</v>
      </c>
    </row>
    <row r="9">
      <c r="A9" s="4" t="inlineStr">
        <is>
          <t>Sciences de l'intervention</t>
        </is>
      </c>
      <c r="B9" s="4" t="inlineStr">
        <is>
          <t>Concepts de base en intervention des APS</t>
        </is>
      </c>
      <c r="C9" s="16" t="n">
        <v>2</v>
      </c>
    </row>
    <row r="10">
      <c r="A10" s="4" t="inlineStr">
        <is>
          <t>Initiation aux fondamentaux du football</t>
        </is>
      </c>
      <c r="B10" s="4" t="inlineStr">
        <is>
          <t>Football : Fondamentaux</t>
        </is>
      </c>
      <c r="C10" s="16" t="n">
        <v>3</v>
      </c>
    </row>
    <row r="11">
      <c r="A11" s="4" t="inlineStr">
        <is>
          <t>Initiation aux fondamentaux du handball</t>
        </is>
      </c>
      <c r="B11" s="4" t="inlineStr">
        <is>
          <t>Handball : Fondamentaux</t>
        </is>
      </c>
      <c r="C11" s="16" t="n">
        <v>3</v>
      </c>
    </row>
    <row r="12">
      <c r="A12" s="4" t="inlineStr">
        <is>
          <t>Initiation aux fondamentaux de la gymnastique</t>
        </is>
      </c>
      <c r="B12" s="4" t="inlineStr">
        <is>
          <t>Gymnastique : Fondamentaux</t>
        </is>
      </c>
      <c r="C12" s="16" t="n">
        <v>2</v>
      </c>
    </row>
    <row r="13">
      <c r="A13" s="4" t="inlineStr">
        <is>
          <t>Initiation aux fondamentaux de l'athlétisme</t>
        </is>
      </c>
      <c r="B13" s="4" t="inlineStr">
        <is>
          <t>Fondamentaux des courses et des sauts</t>
        </is>
      </c>
      <c r="C13" s="16" t="n">
        <v>3</v>
      </c>
    </row>
    <row r="14">
      <c r="A14" s="4" t="inlineStr">
        <is>
          <t>Spécialisation théorique et pratique dans une APS</t>
        </is>
      </c>
      <c r="B14" s="4" t="inlineStr">
        <is>
          <t>APS de spécialité (choix d'un sport de spécialité)</t>
        </is>
      </c>
      <c r="C14" s="16" t="n">
        <v>3</v>
      </c>
    </row>
    <row r="15">
      <c r="A15" s="4" t="inlineStr">
        <is>
          <t>Techniques de communication écrite et orale</t>
        </is>
      </c>
      <c r="B15" s="4" t="inlineStr">
        <is>
          <t>ECUE 1 : Étude des styles de rédaction en langue française ; ECUE 2 : Anglais : vocabulaire du sport</t>
        </is>
      </c>
      <c r="C15" s="16" t="n">
        <v>4</v>
      </c>
    </row>
    <row r="16">
      <c r="B16" s="20" t="inlineStr">
        <is>
          <t>TOTAL Semestre 1</t>
        </is>
      </c>
      <c r="C16" s="27" t="n">
        <v>30</v>
      </c>
    </row>
    <row r="18">
      <c r="A18" s="25" t="inlineStr">
        <is>
          <t>Semestre 2</t>
        </is>
      </c>
    </row>
    <row r="19">
      <c r="A19" s="26" t="inlineStr">
        <is>
          <t>UE</t>
        </is>
      </c>
      <c r="B19" s="26" t="inlineStr">
        <is>
          <t>ECUE (contenu des enseignements)</t>
        </is>
      </c>
      <c r="C19" s="26" t="inlineStr">
        <is>
          <t>Crédits CECT/UE</t>
        </is>
      </c>
    </row>
    <row r="20">
      <c r="A20" s="4" t="inlineStr">
        <is>
          <t>Sciences de la vie et de la santé</t>
        </is>
      </c>
      <c r="B20" s="4" t="inlineStr">
        <is>
          <t>ECUE 1 : Physiologie neuromusculaire, métabolisme et APS ; ECUE 2 : Physiologie des grandes fonctions</t>
        </is>
      </c>
      <c r="C20" s="16" t="n">
        <v>6</v>
      </c>
    </row>
    <row r="21">
      <c r="A21" s="4" t="inlineStr">
        <is>
          <t>Sciences humaines et sociales 1</t>
        </is>
      </c>
      <c r="B21" s="4" t="inlineStr">
        <is>
          <t>ECUE 1 : Introduction à la sociologie ; ECUE 2 : Sociologie du jeu et des APS</t>
        </is>
      </c>
      <c r="C21" s="16" t="n">
        <v>4</v>
      </c>
    </row>
    <row r="22">
      <c r="A22" s="4" t="inlineStr">
        <is>
          <t>Initiation aux fondamentaux du rugby</t>
        </is>
      </c>
      <c r="B22" s="4" t="inlineStr">
        <is>
          <t>Rugby : Fondamentaux</t>
        </is>
      </c>
      <c r="C22" s="16" t="n">
        <v>3</v>
      </c>
    </row>
    <row r="23">
      <c r="A23" s="4" t="inlineStr">
        <is>
          <t>Initiation aux fondamentaux du basketball</t>
        </is>
      </c>
      <c r="B23" s="4" t="inlineStr">
        <is>
          <t>Basketball : Fondamentaux</t>
        </is>
      </c>
      <c r="C23" s="16" t="n">
        <v>3</v>
      </c>
    </row>
    <row r="24">
      <c r="A24" s="4" t="inlineStr">
        <is>
          <t>Initiation aux fondamentaux de la gymnastique II</t>
        </is>
      </c>
      <c r="B24" s="4" t="inlineStr">
        <is>
          <t>Gymnastique 2 : fondamentaux</t>
        </is>
      </c>
      <c r="C24" s="16" t="n">
        <v>3</v>
      </c>
    </row>
    <row r="25">
      <c r="A25" s="4" t="inlineStr">
        <is>
          <t>Initiation aux fondamentaux de l'athlétisme II</t>
        </is>
      </c>
      <c r="B25" s="4" t="inlineStr">
        <is>
          <t>Fondamentaux des courses de vitesse et des lancers</t>
        </is>
      </c>
      <c r="C25" s="16" t="n">
        <v>3</v>
      </c>
    </row>
    <row r="26">
      <c r="A26" s="4" t="inlineStr">
        <is>
          <t>Spécialisation théorique et pratique dans une APS</t>
        </is>
      </c>
      <c r="B26" s="4" t="inlineStr">
        <is>
          <t>APS de spécialité (choix d'un sport de spécialité)</t>
        </is>
      </c>
      <c r="C26" s="16" t="n">
        <v>3</v>
      </c>
    </row>
    <row r="27">
      <c r="A27" s="4" t="inlineStr">
        <is>
          <t>Initiation à l'environnement des TIC</t>
        </is>
      </c>
      <c r="B27" s="4" t="inlineStr">
        <is>
          <t>Formation à Microsoft Office Word</t>
        </is>
      </c>
      <c r="C27" s="16" t="n">
        <v>1</v>
      </c>
    </row>
    <row r="28">
      <c r="A28" s="4" t="inlineStr">
        <is>
          <t>Techniques de communication écrite et orale</t>
        </is>
      </c>
      <c r="B28" s="4" t="inlineStr">
        <is>
          <t>ECUE 1 : Anglais : communication orale (People and places) ; ECUE 2 : Français : expression orale et prise de parole en public</t>
        </is>
      </c>
      <c r="C28" s="16" t="n">
        <v>4</v>
      </c>
    </row>
    <row r="29">
      <c r="B29" s="20" t="inlineStr">
        <is>
          <t>TOTAL Semestre 2</t>
        </is>
      </c>
      <c r="C29" s="27" t="n">
        <v>30</v>
      </c>
    </row>
    <row r="31">
      <c r="A31" s="25" t="inlineStr">
        <is>
          <t>Semestre 3</t>
        </is>
      </c>
    </row>
    <row r="32">
      <c r="A32" s="26" t="inlineStr">
        <is>
          <t>UE</t>
        </is>
      </c>
      <c r="B32" s="26" t="inlineStr">
        <is>
          <t>ECUE (contenu des enseignements)</t>
        </is>
      </c>
      <c r="C32" s="26" t="inlineStr">
        <is>
          <t>Crédits CECT/UE</t>
        </is>
      </c>
    </row>
    <row r="33">
      <c r="A33" s="4" t="inlineStr">
        <is>
          <t>Sciences de la vie et de la santé</t>
        </is>
      </c>
      <c r="B33" s="4" t="inlineStr">
        <is>
          <t>ECUE 1 : Nutrition et APS ; ECUE 2 : Biomécanique du geste</t>
        </is>
      </c>
      <c r="C33" s="16" t="n">
        <v>4</v>
      </c>
    </row>
    <row r="34">
      <c r="A34" s="4" t="inlineStr">
        <is>
          <t>Sciences humaines et sociales appliquées aux APS</t>
        </is>
      </c>
      <c r="B34" s="4" t="inlineStr">
        <is>
          <t>Histoire du sport : naissance et développement du sport moderne</t>
        </is>
      </c>
      <c r="C34" s="16" t="n">
        <v>2</v>
      </c>
    </row>
    <row r="35">
      <c r="A35" s="4" t="inlineStr">
        <is>
          <t>Connaissances institutionnelles du sport</t>
        </is>
      </c>
      <c r="B35" s="4" t="inlineStr">
        <is>
          <t>Connaissances institutionnelles et législatives de l'organisation du sport</t>
        </is>
      </c>
      <c r="C35" s="16" t="n">
        <v>2</v>
      </c>
    </row>
    <row r="36">
      <c r="A36" s="4" t="inlineStr">
        <is>
          <t>Initiation aux fondamentaux du volleyball</t>
        </is>
      </c>
      <c r="B36" s="4" t="inlineStr">
        <is>
          <t>Volleyball : Fondamentaux</t>
        </is>
      </c>
      <c r="C36" s="16" t="n">
        <v>3</v>
      </c>
    </row>
    <row r="37">
      <c r="A37" s="4" t="inlineStr">
        <is>
          <t>Initiation aux sports de combat de préhension</t>
        </is>
      </c>
      <c r="B37" s="4" t="inlineStr">
        <is>
          <t>Judo : Fondamentaux ; Lutte : Fondamentaux</t>
        </is>
      </c>
      <c r="C37" s="16" t="n">
        <v>2</v>
      </c>
    </row>
    <row r="38">
      <c r="A38" s="4" t="inlineStr">
        <is>
          <t>Initiation aux sports de combat de percussion</t>
        </is>
      </c>
      <c r="B38" s="4" t="inlineStr">
        <is>
          <t>Boxe : Fondamentaux ; Taekwondo : Fondamentaux</t>
        </is>
      </c>
      <c r="C38" s="16" t="n">
        <v>2</v>
      </c>
    </row>
    <row r="39">
      <c r="A39" s="4" t="inlineStr">
        <is>
          <t>Initiation aux sports d'entretien et santé</t>
        </is>
      </c>
      <c r="B39" s="4" t="inlineStr">
        <is>
          <t>Fitness et Conditionnement physique</t>
        </is>
      </c>
      <c r="C39" s="16" t="n">
        <v>2</v>
      </c>
    </row>
    <row r="40">
      <c r="A40" s="4" t="inlineStr">
        <is>
          <t>Matérialisation des plateaux de pratique des APS et performance</t>
        </is>
      </c>
      <c r="B40" s="4" t="inlineStr">
        <is>
          <t>Techniques de traçage des aires de pratique sportive et utilisation des instruments de mesure de la performance</t>
        </is>
      </c>
      <c r="C40" s="16" t="n">
        <v>3</v>
      </c>
    </row>
    <row r="41">
      <c r="A41" s="4" t="inlineStr">
        <is>
          <t>Spécialisation théorique et pratique dans une APS</t>
        </is>
      </c>
      <c r="B41" s="4" t="inlineStr">
        <is>
          <t>APS de spécialité (choix d'un sport de spécialité)</t>
        </is>
      </c>
      <c r="C41" s="16" t="n">
        <v>3</v>
      </c>
    </row>
    <row r="42">
      <c r="A42" s="4" t="inlineStr">
        <is>
          <t>Pré-professionnalisation</t>
        </is>
      </c>
      <c r="B42" s="4" t="inlineStr">
        <is>
          <t>Stage pédagogique au primaire : animation sportive 1re étape</t>
        </is>
      </c>
      <c r="C42" s="16" t="n">
        <v>3</v>
      </c>
    </row>
    <row r="43">
      <c r="A43" s="4" t="inlineStr">
        <is>
          <t>Techniques d'expression écrite et orale</t>
        </is>
      </c>
      <c r="B43" s="4" t="inlineStr">
        <is>
          <t>ECUE 1 : Anglais : communication orale (People and places : sport) ; ECUE 2 : Français : expression orale et prise de parole en public</t>
        </is>
      </c>
      <c r="C43" s="16" t="n">
        <v>4</v>
      </c>
    </row>
    <row r="44">
      <c r="B44" s="20" t="inlineStr">
        <is>
          <t>TOTAL Semestre 3</t>
        </is>
      </c>
      <c r="C44" s="27" t="n">
        <v>30</v>
      </c>
    </row>
    <row r="46">
      <c r="A46" s="25" t="inlineStr">
        <is>
          <t>Semestre 4</t>
        </is>
      </c>
    </row>
    <row r="47">
      <c r="A47" s="26" t="inlineStr">
        <is>
          <t>UE</t>
        </is>
      </c>
      <c r="B47" s="26" t="inlineStr">
        <is>
          <t>ECUE (contenu des enseignements)</t>
        </is>
      </c>
      <c r="C47" s="26" t="inlineStr">
        <is>
          <t>Crédits CECT/UE</t>
        </is>
      </c>
    </row>
    <row r="48">
      <c r="A48" s="4" t="inlineStr">
        <is>
          <t>Connaissances institutionnelles du sport</t>
        </is>
      </c>
      <c r="B48" s="4" t="inlineStr">
        <is>
          <t>Organisation et réglementation en sport, loisirs et tourisme sportif</t>
        </is>
      </c>
      <c r="C48" s="16" t="n">
        <v>2</v>
      </c>
    </row>
    <row r="49">
      <c r="A49" s="4" t="inlineStr">
        <is>
          <t>Connaissances juridiques des entreprises sportives</t>
        </is>
      </c>
      <c r="B49" s="4" t="inlineStr">
        <is>
          <t>ECUE 1 : Introduction au droit ; ECUE 2 : Droit et législation du travail et des associations sportives</t>
        </is>
      </c>
      <c r="C49" s="16" t="n">
        <v>4</v>
      </c>
    </row>
    <row r="50">
      <c r="A50" s="4" t="inlineStr">
        <is>
          <t>Économie et marketing du sport</t>
        </is>
      </c>
      <c r="B50" s="4" t="inlineStr">
        <is>
          <t>ECUE 1 : Comptabilité et gestions financières ; ECUE 2 : Introduction à l'économie et économie du sport</t>
        </is>
      </c>
      <c r="C50" s="16" t="n">
        <v>6</v>
      </c>
    </row>
    <row r="51">
      <c r="A51" s="4" t="inlineStr">
        <is>
          <t>Management et gestion du sport</t>
        </is>
      </c>
      <c r="B51" s="4" t="inlineStr">
        <is>
          <t>ECUE 1 : Introduction au marketing ; ECUE 2 : Management d'équipe et gestion des ressources humaines</t>
        </is>
      </c>
      <c r="C51" s="16" t="n">
        <v>6</v>
      </c>
    </row>
    <row r="52">
      <c r="A52" s="4" t="inlineStr">
        <is>
          <t>Gestion et entretien des infrastructures sportives</t>
        </is>
      </c>
      <c r="B52" s="4" t="inlineStr">
        <is>
          <t>Gestion et aménagement des infrastructures et équipements</t>
        </is>
      </c>
      <c r="C52" s="16" t="n">
        <v>2</v>
      </c>
    </row>
    <row r="53">
      <c r="A53" s="4" t="inlineStr">
        <is>
          <t>Spécialisation théorique et pratique dans une APS</t>
        </is>
      </c>
      <c r="B53" s="4" t="inlineStr">
        <is>
          <t>APS de spécialité</t>
        </is>
      </c>
      <c r="C53" s="16" t="n">
        <v>2</v>
      </c>
    </row>
    <row r="54">
      <c r="A54" s="4" t="inlineStr">
        <is>
          <t>Pré-professionnalisation</t>
        </is>
      </c>
      <c r="B54" s="4" t="inlineStr">
        <is>
          <t>Conduite d'action professionnelle en observation (stage)</t>
        </is>
      </c>
      <c r="C54" s="16" t="n">
        <v>2</v>
      </c>
    </row>
    <row r="55">
      <c r="A55" s="4" t="inlineStr">
        <is>
          <t>Méthodologie de la recherche</t>
        </is>
      </c>
      <c r="B55" s="4" t="inlineStr">
        <is>
          <t>Introduction à la méthodologie de la recherche scientifique</t>
        </is>
      </c>
      <c r="C55" s="16" t="n">
        <v>3</v>
      </c>
    </row>
    <row r="56">
      <c r="A56" s="4" t="inlineStr">
        <is>
          <t>Technologie de l'information et de la communication</t>
        </is>
      </c>
      <c r="B56" s="4" t="inlineStr">
        <is>
          <t>Initiation à l'informatique et aux techniques de montage audiovisuel : APS et activité récréative</t>
        </is>
      </c>
      <c r="C56" s="16" t="n">
        <v>1</v>
      </c>
    </row>
    <row r="57">
      <c r="A57" s="4" t="inlineStr">
        <is>
          <t>Techniques d'expression écrite et orale</t>
        </is>
      </c>
      <c r="B57" s="4" t="inlineStr">
        <is>
          <t>Anglais spécifique au management : gestion des organisations sportives</t>
        </is>
      </c>
      <c r="C57" s="16" t="n">
        <v>2</v>
      </c>
    </row>
    <row r="58">
      <c r="B58" s="20" t="inlineStr">
        <is>
          <t>TOTAL Semestre 4</t>
        </is>
      </c>
      <c r="C58" s="27" t="n">
        <v>30</v>
      </c>
    </row>
    <row r="60">
      <c r="A60" s="25" t="inlineStr">
        <is>
          <t>Semestre 5</t>
        </is>
      </c>
    </row>
    <row r="61">
      <c r="A61" s="26" t="inlineStr">
        <is>
          <t>UE</t>
        </is>
      </c>
      <c r="B61" s="26" t="inlineStr">
        <is>
          <t>ECUE (contenu des enseignements)</t>
        </is>
      </c>
      <c r="C61" s="26" t="inlineStr">
        <is>
          <t>Crédits CECT/UE</t>
        </is>
      </c>
    </row>
    <row r="62">
      <c r="A62" s="4" t="inlineStr">
        <is>
          <t>Connaissances sociologiques et managériales du sport</t>
        </is>
      </c>
      <c r="B62" s="4" t="inlineStr">
        <is>
          <t>ECUE 1 : Sociologie des organisations sportives ; ECUE 2 : Management des organisations sportives</t>
        </is>
      </c>
      <c r="C62" s="16" t="n">
        <v>4</v>
      </c>
    </row>
    <row r="63">
      <c r="A63" s="4" t="inlineStr">
        <is>
          <t>Droit du sport</t>
        </is>
      </c>
      <c r="B63" s="4" t="inlineStr">
        <is>
          <t>ECUE 1 : Cadre institutionnel et législatif du sport en Côte d'Ivoire ; ECUE 2 : Sécurité de l'installation sportive et droit de la responsabilité</t>
        </is>
      </c>
      <c r="C63" s="16" t="n">
        <v>4</v>
      </c>
    </row>
    <row r="64">
      <c r="A64" s="4" t="inlineStr">
        <is>
          <t>Management et marketing stratégique</t>
        </is>
      </c>
      <c r="B64" s="4" t="inlineStr">
        <is>
          <t>Étude de marché</t>
        </is>
      </c>
      <c r="C64" s="16" t="n">
        <v>2</v>
      </c>
    </row>
    <row r="65">
      <c r="A65" s="4" t="inlineStr">
        <is>
          <t>Stratégie de communication</t>
        </is>
      </c>
      <c r="B65" s="4" t="inlineStr">
        <is>
          <t>Concepts, techniques et stratégies de communication des organisations sportives</t>
        </is>
      </c>
      <c r="C65" s="16" t="n">
        <v>2</v>
      </c>
    </row>
    <row r="66">
      <c r="A66" s="4" t="inlineStr">
        <is>
          <t>Finance et comptabilité du sport</t>
        </is>
      </c>
      <c r="B66" s="4" t="inlineStr">
        <is>
          <t>ECUE 1 : Analyse financière et fiscalité des organisations sportives ; ECUE 2 : Analyse des modes de financement du sport</t>
        </is>
      </c>
      <c r="C66" s="16" t="n">
        <v>4</v>
      </c>
    </row>
    <row r="67">
      <c r="A67" s="4" t="inlineStr">
        <is>
          <t>Spécialisation théorique et pratique dans une APS</t>
        </is>
      </c>
      <c r="B67" s="4" t="inlineStr">
        <is>
          <t>APS de spécialité</t>
        </is>
      </c>
      <c r="C67" s="16" t="n">
        <v>3</v>
      </c>
    </row>
    <row r="68">
      <c r="A68" s="4" t="inlineStr">
        <is>
          <t>Pratique de l'événementiel sportif</t>
        </is>
      </c>
      <c r="B68" s="4" t="inlineStr">
        <is>
          <t>ECUE 1 : Management de projet : événement sportif de la planification à la clôture 1 ; ECUE 2 : idem 2</t>
        </is>
      </c>
      <c r="C68" s="16" t="n">
        <v>4</v>
      </c>
    </row>
    <row r="69">
      <c r="A69" s="4" t="inlineStr">
        <is>
          <t>Méthodologie de la recherche</t>
        </is>
      </c>
      <c r="B69" s="4" t="inlineStr">
        <is>
          <t>Initiation à la méthodologie de la recherche scientifique 3</t>
        </is>
      </c>
      <c r="C69" s="16" t="n">
        <v>2</v>
      </c>
    </row>
    <row r="70">
      <c r="A70" s="4" t="inlineStr">
        <is>
          <t>Technologie de l'information et de la communication</t>
        </is>
      </c>
      <c r="B70" s="4" t="inlineStr">
        <is>
          <t>Introduction à l'informatique : prise en main d'Excel</t>
        </is>
      </c>
      <c r="C70" s="16" t="n">
        <v>2</v>
      </c>
    </row>
    <row r="71">
      <c r="A71" s="4" t="inlineStr">
        <is>
          <t>Technique d'expression orale et écrite</t>
        </is>
      </c>
      <c r="B71" s="4" t="inlineStr">
        <is>
          <t>Anglais en marketing et management du sport</t>
        </is>
      </c>
      <c r="C71" s="16" t="n">
        <v>2</v>
      </c>
    </row>
    <row r="72">
      <c r="A72" s="4" t="inlineStr">
        <is>
          <t>Life Skills</t>
        </is>
      </c>
      <c r="B72" s="4" t="inlineStr">
        <is>
          <t>Culture civique</t>
        </is>
      </c>
      <c r="C72" s="16" t="n">
        <v>1</v>
      </c>
    </row>
    <row r="73">
      <c r="B73" s="20" t="inlineStr">
        <is>
          <t>TOTAL Semestre 5</t>
        </is>
      </c>
      <c r="C73" s="27" t="n">
        <v>30</v>
      </c>
    </row>
    <row r="75">
      <c r="A75" s="25" t="inlineStr">
        <is>
          <t>Semestre 6</t>
        </is>
      </c>
    </row>
    <row r="76">
      <c r="A76" s="26" t="inlineStr">
        <is>
          <t>UE</t>
        </is>
      </c>
      <c r="B76" s="26" t="inlineStr">
        <is>
          <t>ECUE (contenu des enseignements)</t>
        </is>
      </c>
      <c r="C76" s="26" t="inlineStr">
        <is>
          <t>Crédits CECT/UE</t>
        </is>
      </c>
    </row>
    <row r="77">
      <c r="A77" s="4" t="inlineStr">
        <is>
          <t>Gestion de l'environnement sportif</t>
        </is>
      </c>
      <c r="B77" s="4" t="inlineStr">
        <is>
          <t>ECUE 1 : Réglementation et responsabilité en matière de risques et assurances sportives ; ECUE 2 : Aménagement des territoires sportifs : conception et gestion prospective des équipements sportifs</t>
        </is>
      </c>
      <c r="C77" s="16" t="n">
        <v>6</v>
      </c>
    </row>
    <row r="78">
      <c r="A78" s="4" t="inlineStr">
        <is>
          <t>Marketing et économie du sport</t>
        </is>
      </c>
      <c r="B78" s="4" t="inlineStr">
        <is>
          <t>ECUE 1 : Stratégie marketing : conception de produits et services de loisir sportif ; ECUE 2 : Sport, loisirs et développement durable : analyse socio-économique</t>
        </is>
      </c>
      <c r="C78" s="16" t="n">
        <v>6</v>
      </c>
    </row>
    <row r="79">
      <c r="A79" s="4" t="inlineStr">
        <is>
          <t>Pratique de l'entrepreneuriat et de l'événementiel sportif</t>
        </is>
      </c>
      <c r="B79" s="4" t="inlineStr">
        <is>
          <t>Entrepreneuriat sportif : création de services/entreprises sportives (MS, APAS)</t>
        </is>
      </c>
      <c r="C79" s="16" t="n">
        <v>2</v>
      </c>
    </row>
    <row r="80">
      <c r="A80" s="4" t="inlineStr">
        <is>
          <t>Gestion administrative du sport</t>
        </is>
      </c>
      <c r="B80" s="4" t="inlineStr">
        <is>
          <t>ECUE 1 : Administration publique de CI : attributions, organisation et fonctionnement du ministère des Sports ; ECUE 2 : Élaboration et gestion de projet dans le domaine sportif (GAR)</t>
        </is>
      </c>
      <c r="C80" s="16" t="n">
        <v>4</v>
      </c>
    </row>
    <row r="81">
      <c r="A81" s="4" t="inlineStr">
        <is>
          <t>Fonction publique</t>
        </is>
      </c>
      <c r="B81" s="4" t="inlineStr">
        <is>
          <t>Droits et obligations du fonctionnaire</t>
        </is>
      </c>
      <c r="C81" s="16" t="n">
        <v>2</v>
      </c>
    </row>
    <row r="82">
      <c r="A82" s="4" t="inlineStr">
        <is>
          <t>Spécialisation pratique et théorique dans une APS</t>
        </is>
      </c>
      <c r="B82" s="4" t="inlineStr">
        <is>
          <t>APS de spécialité</t>
        </is>
      </c>
      <c r="C82" s="16" t="n">
        <v>2</v>
      </c>
    </row>
    <row r="83">
      <c r="A83" s="4" t="inlineStr">
        <is>
          <t>Pré-professionnalisation</t>
        </is>
      </c>
      <c r="B83" s="4" t="inlineStr">
        <is>
          <t>Conduite et présentation d'action professionnelle en responsabilité (stage)</t>
        </is>
      </c>
      <c r="C83" s="16" t="n">
        <v>3</v>
      </c>
    </row>
    <row r="84">
      <c r="A84" s="4" t="inlineStr">
        <is>
          <t>Formation à la recherche scientifique</t>
        </is>
      </c>
      <c r="B84" s="4" t="inlineStr">
        <is>
          <t>Séminaire de recherche : élaboration de projet de mémoire</t>
        </is>
      </c>
      <c r="C84" s="16" t="n">
        <v>3</v>
      </c>
    </row>
    <row r="85">
      <c r="A85" s="4" t="inlineStr">
        <is>
          <t>Technique d'expression écrite et orale</t>
        </is>
      </c>
      <c r="B85" s="4" t="inlineStr">
        <is>
          <t>Anglais en organisation d'événements sportifs</t>
        </is>
      </c>
      <c r="C85" s="16" t="n">
        <v>2</v>
      </c>
    </row>
    <row r="86">
      <c r="B86" s="20" t="inlineStr">
        <is>
          <t>TOTAL Semestre 6</t>
        </is>
      </c>
      <c r="C86" s="27" t="n">
        <v>30</v>
      </c>
    </row>
    <row r="88">
      <c r="A88" s="28" t="inlineStr">
        <is>
          <t>TOTAL LICENCE : 180 crédits</t>
        </is>
      </c>
    </row>
    <row r="90">
      <c r="A90" s="23" t="inlineStr">
        <is>
          <t>🎓 PARCOURS MASTER</t>
        </is>
      </c>
      <c r="B90" s="24" t="n"/>
      <c r="C90" s="24" t="n"/>
      <c r="D90" s="24" t="n"/>
    </row>
    <row r="91">
      <c r="A91" s="25" t="inlineStr">
        <is>
          <t>Semestre 1 (M1/S7)</t>
        </is>
      </c>
    </row>
    <row r="92">
      <c r="A92" s="26" t="inlineStr">
        <is>
          <t>UE</t>
        </is>
      </c>
      <c r="B92" s="26" t="inlineStr">
        <is>
          <t>ECUE (contenu des enseignements)</t>
        </is>
      </c>
      <c r="C92" s="26" t="inlineStr">
        <is>
          <t>Crédits CECT/UE</t>
        </is>
      </c>
    </row>
    <row r="93">
      <c r="A93" s="4" t="inlineStr">
        <is>
          <t>Aspects fondamentaux de la gestion</t>
        </is>
      </c>
      <c r="B93" s="4" t="inlineStr">
        <is>
          <t>ECUE 1 : Événementiel sportif : stratégies de communication des organisations sportives ; ECUE 2 : Marketing des services : publics associatifs et commerciaux</t>
        </is>
      </c>
      <c r="C93" s="16" t="n">
        <v>4</v>
      </c>
    </row>
    <row r="94">
      <c r="A94" s="4" t="inlineStr">
        <is>
          <t>Analyse stratégique</t>
        </is>
      </c>
      <c r="B94" s="4" t="inlineStr">
        <is>
          <t>ECUE 1 : Étude de cas marketing : le marché des produits et services de sport et loisirs ; ECUE 2 : Étude de cas : analyse et évaluation de l'action publique</t>
        </is>
      </c>
      <c r="C94" s="16" t="n">
        <v>6</v>
      </c>
    </row>
    <row r="95">
      <c r="A95" s="4" t="inlineStr">
        <is>
          <t>Gestion publique</t>
        </is>
      </c>
      <c r="B95" s="4" t="inlineStr">
        <is>
          <t>Rédaction administrative et techniques de conduite de réunion</t>
        </is>
      </c>
      <c r="C95" s="16" t="n">
        <v>3</v>
      </c>
    </row>
    <row r="96">
      <c r="A96" s="4" t="inlineStr">
        <is>
          <t>Finances publiques</t>
        </is>
      </c>
      <c r="B96" s="4" t="inlineStr">
        <is>
          <t>Analyse des procédures d'exécution du budget</t>
        </is>
      </c>
      <c r="C96" s="16" t="n">
        <v>2</v>
      </c>
    </row>
    <row r="97">
      <c r="A97" s="4" t="inlineStr">
        <is>
          <t>Professionnalisation</t>
        </is>
      </c>
      <c r="B97" s="4" t="inlineStr">
        <is>
          <t>Stage professionnel dans une structure du Ministère des Sports : élaboration d'un projet</t>
        </is>
      </c>
      <c r="C97" s="16" t="n">
        <v>4</v>
      </c>
    </row>
    <row r="98">
      <c r="A98" s="4" t="inlineStr">
        <is>
          <t>Spécialisation théorique et pratique dans une APS</t>
        </is>
      </c>
      <c r="B98" s="4" t="inlineStr">
        <is>
          <t>APS de spécialité</t>
        </is>
      </c>
      <c r="C98" s="16" t="n">
        <v>3</v>
      </c>
    </row>
    <row r="99">
      <c r="A99" s="4" t="inlineStr">
        <is>
          <t>Théorie de la méthodologie de la recherche</t>
        </is>
      </c>
      <c r="B99" s="4" t="inlineStr">
        <is>
          <t>Méthodologie de la recherche scientifique 2 : conception des instruments de collecte de données</t>
        </is>
      </c>
      <c r="C99" s="16" t="n">
        <v>3</v>
      </c>
    </row>
    <row r="100">
      <c r="A100" s="4" t="inlineStr">
        <is>
          <t>Formation à la recherche</t>
        </is>
      </c>
      <c r="B100" s="4" t="inlineStr">
        <is>
          <t>Séminaire de recherche en management du sport</t>
        </is>
      </c>
      <c r="C100" s="16" t="n">
        <v>3</v>
      </c>
    </row>
    <row r="101">
      <c r="A101" s="4" t="inlineStr">
        <is>
          <t>Technique d'expression écrite et orale</t>
        </is>
      </c>
      <c r="B101" s="4" t="inlineStr">
        <is>
          <t>Anglais professionnel</t>
        </is>
      </c>
      <c r="C101" s="16" t="n">
        <v>2</v>
      </c>
    </row>
    <row r="102">
      <c r="B102" s="20" t="inlineStr">
        <is>
          <t>TOTAL Semestre 1 (M1/S7)</t>
        </is>
      </c>
      <c r="C102" s="27" t="n">
        <v>30</v>
      </c>
    </row>
    <row r="104">
      <c r="A104" s="25" t="inlineStr">
        <is>
          <t>Semestre 2 (M1/S8)</t>
        </is>
      </c>
    </row>
    <row r="105">
      <c r="A105" s="4" t="inlineStr">
        <is>
          <t>Non détaillé distinctement sur la page officielle (coquille du site INJS).</t>
        </is>
      </c>
      <c r="B105" s="21" t="n"/>
      <c r="C105" s="21" t="n"/>
      <c r="D105" s="22" t="n"/>
    </row>
    <row r="106">
      <c r="A106" s="25" t="inlineStr">
        <is>
          <t>Semestre 3 (M2/S9)</t>
        </is>
      </c>
    </row>
    <row r="107">
      <c r="A107" s="26" t="inlineStr">
        <is>
          <t>UE</t>
        </is>
      </c>
      <c r="B107" s="26" t="inlineStr">
        <is>
          <t>ECUE (contenu des enseignements)</t>
        </is>
      </c>
      <c r="C107" s="26" t="inlineStr">
        <is>
          <t>Crédits CECT/UE</t>
        </is>
      </c>
    </row>
    <row r="108">
      <c r="A108" s="4" t="inlineStr">
        <is>
          <t>Professionnalisation</t>
        </is>
      </c>
      <c r="B108" s="4" t="inlineStr">
        <is>
          <t>Stage milieu professionnel</t>
        </is>
      </c>
      <c r="C108" s="16" t="n">
        <v>15</v>
      </c>
    </row>
    <row r="109">
      <c r="A109" s="4" t="inlineStr">
        <is>
          <t>Formation à la recherche</t>
        </is>
      </c>
      <c r="B109" s="4" t="inlineStr">
        <is>
          <t>Séminaire de recherche 3</t>
        </is>
      </c>
      <c r="C109" s="16" t="n">
        <v>7</v>
      </c>
    </row>
    <row r="110">
      <c r="A110" s="4" t="inlineStr">
        <is>
          <t>Méthodologie de la recherche</t>
        </is>
      </c>
      <c r="B110" s="4" t="inlineStr">
        <is>
          <t>ECUE 1 : Méthodologie de la recherche scientifique 3 : analyse des données et discussion ; ECUE 2 : Statistiques descriptives et inférentielles 2</t>
        </is>
      </c>
      <c r="C110" s="16" t="n">
        <v>8</v>
      </c>
    </row>
    <row r="111">
      <c r="B111" s="20" t="inlineStr">
        <is>
          <t>TOTAL Semestre 3 (M2/S9)</t>
        </is>
      </c>
      <c r="C111" s="27" t="n">
        <v>30</v>
      </c>
    </row>
    <row r="113">
      <c r="A113" s="25" t="inlineStr">
        <is>
          <t>Semestre 4 (M2/S10)</t>
        </is>
      </c>
    </row>
    <row r="114">
      <c r="A114" s="26" t="inlineStr">
        <is>
          <t>UE</t>
        </is>
      </c>
      <c r="B114" s="26" t="inlineStr">
        <is>
          <t>ECUE (contenu des enseignements)</t>
        </is>
      </c>
      <c r="C114" s="26" t="inlineStr">
        <is>
          <t>Crédits CECT/UE</t>
        </is>
      </c>
    </row>
    <row r="115">
      <c r="A115" s="4" t="inlineStr">
        <is>
          <t>Formation à la recherche</t>
        </is>
      </c>
      <c r="B115" s="4" t="inlineStr">
        <is>
          <t>Travaux de recherche : mémoire</t>
        </is>
      </c>
      <c r="C115" s="16" t="n">
        <v>15</v>
      </c>
    </row>
    <row r="116">
      <c r="A116" s="4" t="inlineStr">
        <is>
          <t>Formation professionnelle</t>
        </is>
      </c>
      <c r="B116" s="4" t="inlineStr">
        <is>
          <t>Stage milieu professionnel</t>
        </is>
      </c>
      <c r="C116" s="16" t="n">
        <v>15</v>
      </c>
    </row>
    <row r="117">
      <c r="B117" s="20" t="inlineStr">
        <is>
          <t>TOTAL Semestre 4 (M2/S10)</t>
        </is>
      </c>
      <c r="C117" s="27" t="n">
        <v>30</v>
      </c>
    </row>
    <row r="119">
      <c r="A119" s="28" t="inlineStr">
        <is>
          <t>TOTAL MASTER : 90 crédits</t>
        </is>
      </c>
    </row>
  </sheetData>
  <mergeCells count="13">
    <mergeCell ref="A5:D5"/>
    <mergeCell ref="A75:D75"/>
    <mergeCell ref="A18:D18"/>
    <mergeCell ref="A31:D31"/>
    <mergeCell ref="A106:D106"/>
    <mergeCell ref="A91:D91"/>
    <mergeCell ref="A60:D60"/>
    <mergeCell ref="A105:D105"/>
    <mergeCell ref="A4:D4"/>
    <mergeCell ref="A104:D104"/>
    <mergeCell ref="A113:D113"/>
    <mergeCell ref="A46:D46"/>
    <mergeCell ref="A90:D9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52" customWidth="1" min="1" max="1"/>
    <col width="85" customWidth="1" min="2" max="2"/>
    <col width="18" customWidth="1" min="3" max="3"/>
  </cols>
  <sheetData>
    <row r="1">
      <c r="A1" s="13" t="inlineStr">
        <is>
          <t>11. MAQUETTE « ENTRAÎNEMENT SPORTIF (ES) » — ENSEPS — filière STAPS</t>
        </is>
      </c>
    </row>
    <row r="2">
      <c r="A2" s="19" t="inlineStr">
        <is>
          <t>UE = Unité d'Enseignement ; ECUE = Élément Constitutif d'UE ; CECT = crédits. Chaque semestre = 30 crédits.</t>
        </is>
      </c>
    </row>
    <row r="4">
      <c r="A4" s="23" t="inlineStr">
        <is>
          <t>🎓 PARCOURS LICENCE</t>
        </is>
      </c>
      <c r="B4" s="24" t="n"/>
      <c r="C4" s="24" t="n"/>
      <c r="D4" s="24" t="n"/>
    </row>
    <row r="5">
      <c r="A5" s="25" t="inlineStr">
        <is>
          <t>Semestre 1</t>
        </is>
      </c>
    </row>
    <row r="6">
      <c r="A6" s="26" t="inlineStr">
        <is>
          <t>UE</t>
        </is>
      </c>
      <c r="B6" s="26" t="inlineStr">
        <is>
          <t>ECUE (contenu des enseignements)</t>
        </is>
      </c>
      <c r="C6" s="26" t="inlineStr">
        <is>
          <t>Crédits CECT/UE</t>
        </is>
      </c>
    </row>
    <row r="7">
      <c r="A7" s="4" t="inlineStr">
        <is>
          <t>Sciences de la vie et de la santé</t>
        </is>
      </c>
      <c r="B7" s="4" t="inlineStr">
        <is>
          <t>ECUE 1 : Anatomie descriptive du squelette appendiculaire ; ECUE 2 : Anatomie fonctionnelle du corps humain</t>
        </is>
      </c>
      <c r="C7" s="16" t="n">
        <v>6</v>
      </c>
    </row>
    <row r="8">
      <c r="A8" s="4" t="inlineStr">
        <is>
          <t>Sciences humaines et sociales</t>
        </is>
      </c>
      <c r="B8" s="4" t="inlineStr">
        <is>
          <t>ECUE 1 : Introduction à la psychologie générale ; ECUE 2 : Psychologie de l'apprentissage et du développement</t>
        </is>
      </c>
      <c r="C8" s="16" t="n">
        <v>4</v>
      </c>
    </row>
    <row r="9">
      <c r="A9" s="4" t="inlineStr">
        <is>
          <t>Sciences de l'intervention</t>
        </is>
      </c>
      <c r="B9" s="4" t="inlineStr">
        <is>
          <t>Concepts de base en intervention des APS</t>
        </is>
      </c>
      <c r="C9" s="16" t="n">
        <v>2</v>
      </c>
    </row>
    <row r="10">
      <c r="A10" s="4" t="inlineStr">
        <is>
          <t>Initiation aux fondamentaux du football</t>
        </is>
      </c>
      <c r="B10" s="4" t="inlineStr">
        <is>
          <t>Football : Fondamentaux</t>
        </is>
      </c>
      <c r="C10" s="16" t="n">
        <v>3</v>
      </c>
    </row>
    <row r="11">
      <c r="A11" s="4" t="inlineStr">
        <is>
          <t>Initiation aux fondamentaux du handball</t>
        </is>
      </c>
      <c r="B11" s="4" t="inlineStr">
        <is>
          <t>Handball : Fondamentaux</t>
        </is>
      </c>
      <c r="C11" s="16" t="n">
        <v>3</v>
      </c>
    </row>
    <row r="12">
      <c r="A12" s="4" t="inlineStr">
        <is>
          <t>Initiation aux fondamentaux de la gymnastique</t>
        </is>
      </c>
      <c r="B12" s="4" t="inlineStr">
        <is>
          <t>Gymnastique : Fondamentaux</t>
        </is>
      </c>
      <c r="C12" s="16" t="n">
        <v>2</v>
      </c>
    </row>
    <row r="13">
      <c r="A13" s="4" t="inlineStr">
        <is>
          <t>Initiation aux fondamentaux de l'athlétisme</t>
        </is>
      </c>
      <c r="B13" s="4" t="inlineStr">
        <is>
          <t>Fondamentaux des courses et des sauts</t>
        </is>
      </c>
      <c r="C13" s="16" t="n">
        <v>3</v>
      </c>
    </row>
    <row r="14">
      <c r="A14" s="4" t="inlineStr">
        <is>
          <t>Spécialisation théorique et pratique dans une APS</t>
        </is>
      </c>
      <c r="B14" s="4" t="inlineStr">
        <is>
          <t>APS de spécialité (choix d'un sport de spécialité)</t>
        </is>
      </c>
      <c r="C14" s="16" t="n">
        <v>3</v>
      </c>
    </row>
    <row r="15">
      <c r="A15" s="4" t="inlineStr">
        <is>
          <t>Techniques de communication écrite et orale</t>
        </is>
      </c>
      <c r="B15" s="4" t="inlineStr">
        <is>
          <t>ECUE 1 : Étude des styles de rédaction en langue française ; ECUE 2 : Anglais : vocabulaire du sport</t>
        </is>
      </c>
      <c r="C15" s="16" t="n">
        <v>4</v>
      </c>
    </row>
    <row r="16">
      <c r="B16" s="20" t="inlineStr">
        <is>
          <t>TOTAL Semestre 1</t>
        </is>
      </c>
      <c r="C16" s="27" t="n">
        <v>30</v>
      </c>
    </row>
    <row r="18">
      <c r="A18" s="25" t="inlineStr">
        <is>
          <t>Semestre 2</t>
        </is>
      </c>
    </row>
    <row r="19">
      <c r="A19" s="26" t="inlineStr">
        <is>
          <t>UE</t>
        </is>
      </c>
      <c r="B19" s="26" t="inlineStr">
        <is>
          <t>ECUE (contenu des enseignements)</t>
        </is>
      </c>
      <c r="C19" s="26" t="inlineStr">
        <is>
          <t>Crédits CECT/UE</t>
        </is>
      </c>
    </row>
    <row r="20">
      <c r="A20" s="4" t="inlineStr">
        <is>
          <t>Sciences de la vie et de la santé</t>
        </is>
      </c>
      <c r="B20" s="4" t="inlineStr">
        <is>
          <t>ECUE 1 : Physiologie neuromusculaire, métabolisme et APS ; ECUE 2 : Physiologie des grandes fonctions</t>
        </is>
      </c>
      <c r="C20" s="16" t="n">
        <v>6</v>
      </c>
    </row>
    <row r="21">
      <c r="A21" s="4" t="inlineStr">
        <is>
          <t>Sciences humaines et sociales 1</t>
        </is>
      </c>
      <c r="B21" s="4" t="inlineStr">
        <is>
          <t>ECUE 1 : Introduction à la sociologie ; ECUE 2 : Sociologie du jeu et des APS</t>
        </is>
      </c>
      <c r="C21" s="16" t="n">
        <v>4</v>
      </c>
    </row>
    <row r="22">
      <c r="A22" s="4" t="inlineStr">
        <is>
          <t>Initiation aux fondamentaux du rugby</t>
        </is>
      </c>
      <c r="B22" s="4" t="inlineStr">
        <is>
          <t>Rugby : Fondamentaux</t>
        </is>
      </c>
      <c r="C22" s="16" t="n">
        <v>3</v>
      </c>
    </row>
    <row r="23">
      <c r="A23" s="4" t="inlineStr">
        <is>
          <t>Initiation aux fondamentaux du basketball</t>
        </is>
      </c>
      <c r="B23" s="4" t="inlineStr">
        <is>
          <t>Basketball : Fondamentaux</t>
        </is>
      </c>
      <c r="C23" s="16" t="n">
        <v>3</v>
      </c>
    </row>
    <row r="24">
      <c r="A24" s="4" t="inlineStr">
        <is>
          <t>Initiation aux fondamentaux de la gymnastique II</t>
        </is>
      </c>
      <c r="B24" s="4" t="inlineStr">
        <is>
          <t>Gymnastique 2 : fondamentaux</t>
        </is>
      </c>
      <c r="C24" s="16" t="n">
        <v>3</v>
      </c>
    </row>
    <row r="25">
      <c r="A25" s="4" t="inlineStr">
        <is>
          <t>Initiation aux fondamentaux de l'athlétisme II</t>
        </is>
      </c>
      <c r="B25" s="4" t="inlineStr">
        <is>
          <t>Fondamentaux des courses de vitesse et des lancers</t>
        </is>
      </c>
      <c r="C25" s="16" t="n">
        <v>3</v>
      </c>
    </row>
    <row r="26">
      <c r="A26" s="4" t="inlineStr">
        <is>
          <t>Spécialisation théorique et pratique dans une APS</t>
        </is>
      </c>
      <c r="B26" s="4" t="inlineStr">
        <is>
          <t>APS de spécialité (choix d'un sport de spécialité)</t>
        </is>
      </c>
      <c r="C26" s="16" t="n">
        <v>3</v>
      </c>
    </row>
    <row r="27">
      <c r="A27" s="4" t="inlineStr">
        <is>
          <t>Initiation à l'environnement des TIC</t>
        </is>
      </c>
      <c r="B27" s="4" t="inlineStr">
        <is>
          <t>Formation à Microsoft Office Word</t>
        </is>
      </c>
      <c r="C27" s="16" t="n">
        <v>1</v>
      </c>
    </row>
    <row r="28">
      <c r="A28" s="4" t="inlineStr">
        <is>
          <t>Techniques de communication écrite et orale</t>
        </is>
      </c>
      <c r="B28" s="4" t="inlineStr">
        <is>
          <t>ECUE 1 : Anglais : communication orale (People and places) ; ECUE 2 : Français : expression orale et prise de parole en public</t>
        </is>
      </c>
      <c r="C28" s="16" t="n">
        <v>4</v>
      </c>
    </row>
    <row r="29">
      <c r="B29" s="20" t="inlineStr">
        <is>
          <t>TOTAL Semestre 2</t>
        </is>
      </c>
      <c r="C29" s="27" t="n">
        <v>30</v>
      </c>
    </row>
    <row r="31">
      <c r="A31" s="25" t="inlineStr">
        <is>
          <t>Semestre 3</t>
        </is>
      </c>
    </row>
    <row r="32">
      <c r="A32" s="26" t="inlineStr">
        <is>
          <t>UE</t>
        </is>
      </c>
      <c r="B32" s="26" t="inlineStr">
        <is>
          <t>ECUE (contenu des enseignements)</t>
        </is>
      </c>
      <c r="C32" s="26" t="inlineStr">
        <is>
          <t>Crédits CECT/UE</t>
        </is>
      </c>
    </row>
    <row r="33">
      <c r="A33" s="4" t="inlineStr">
        <is>
          <t>Sciences de la vie et de la santé</t>
        </is>
      </c>
      <c r="B33" s="4" t="inlineStr">
        <is>
          <t>ECUE 1 : Nutrition et APS ; ECUE 2 : Biomécanique du geste</t>
        </is>
      </c>
      <c r="C33" s="16" t="n">
        <v>4</v>
      </c>
    </row>
    <row r="34">
      <c r="A34" s="4" t="inlineStr">
        <is>
          <t>Sciences humaines et sociales appliquées aux APS</t>
        </is>
      </c>
      <c r="B34" s="4" t="inlineStr">
        <is>
          <t>Histoire du sport : naissance et développement du sport moderne</t>
        </is>
      </c>
      <c r="C34" s="16" t="n">
        <v>2</v>
      </c>
    </row>
    <row r="35">
      <c r="A35" s="4" t="inlineStr">
        <is>
          <t>Connaissances institutionnelles du sport</t>
        </is>
      </c>
      <c r="B35" s="4" t="inlineStr">
        <is>
          <t>Connaissances institutionnelles et législatives de l'organisation du sport</t>
        </is>
      </c>
      <c r="C35" s="16" t="n">
        <v>2</v>
      </c>
    </row>
    <row r="36">
      <c r="A36" s="4" t="inlineStr">
        <is>
          <t>Initiation aux fondamentaux du volleyball</t>
        </is>
      </c>
      <c r="B36" s="4" t="inlineStr">
        <is>
          <t>Volleyball : Fondamentaux</t>
        </is>
      </c>
      <c r="C36" s="16" t="n">
        <v>3</v>
      </c>
    </row>
    <row r="37">
      <c r="A37" s="4" t="inlineStr">
        <is>
          <t>Initiation aux sports de combat de préhension</t>
        </is>
      </c>
      <c r="B37" s="4" t="inlineStr">
        <is>
          <t>Judo : Fondamentaux ; Lutte : Fondamentaux</t>
        </is>
      </c>
      <c r="C37" s="16" t="n">
        <v>2</v>
      </c>
    </row>
    <row r="38">
      <c r="A38" s="4" t="inlineStr">
        <is>
          <t>Initiation aux sports de combat de percussion</t>
        </is>
      </c>
      <c r="B38" s="4" t="inlineStr">
        <is>
          <t>Boxe : Fondamentaux ; Taekwondo : Fondamentaux</t>
        </is>
      </c>
      <c r="C38" s="16" t="n">
        <v>2</v>
      </c>
    </row>
    <row r="39">
      <c r="A39" s="4" t="inlineStr">
        <is>
          <t>Initiation aux sports d'entretien et santé</t>
        </is>
      </c>
      <c r="B39" s="4" t="inlineStr">
        <is>
          <t>Fitness et Conditionnement physique</t>
        </is>
      </c>
      <c r="C39" s="16" t="n">
        <v>2</v>
      </c>
    </row>
    <row r="40">
      <c r="A40" s="4" t="inlineStr">
        <is>
          <t>Matérialisation des plateaux de pratique des APS et performance</t>
        </is>
      </c>
      <c r="B40" s="4" t="inlineStr">
        <is>
          <t>Techniques de traçage des aires de pratique sportive et utilisation des instruments de mesure de la performance</t>
        </is>
      </c>
      <c r="C40" s="16" t="n">
        <v>3</v>
      </c>
    </row>
    <row r="41">
      <c r="A41" s="4" t="inlineStr">
        <is>
          <t>Spécialisation théorique et pratique dans une APS</t>
        </is>
      </c>
      <c r="B41" s="4" t="inlineStr">
        <is>
          <t>APS de spécialité (choix d'un sport de spécialité)</t>
        </is>
      </c>
      <c r="C41" s="16" t="n">
        <v>3</v>
      </c>
    </row>
    <row r="42">
      <c r="A42" s="4" t="inlineStr">
        <is>
          <t>Pré-professionnalisation</t>
        </is>
      </c>
      <c r="B42" s="4" t="inlineStr">
        <is>
          <t>Stage pédagogique au primaire : animation sportive 1re étape</t>
        </is>
      </c>
      <c r="C42" s="16" t="n">
        <v>3</v>
      </c>
    </row>
    <row r="43">
      <c r="A43" s="4" t="inlineStr">
        <is>
          <t>Techniques d'expression écrite et orale</t>
        </is>
      </c>
      <c r="B43" s="4" t="inlineStr">
        <is>
          <t>ECUE 1 : Anglais : communication orale (People and places : sport) ; ECUE 2 : Français : expression orale et prise de parole en public</t>
        </is>
      </c>
      <c r="C43" s="16" t="n">
        <v>4</v>
      </c>
    </row>
    <row r="44">
      <c r="B44" s="20" t="inlineStr">
        <is>
          <t>TOTAL Semestre 3</t>
        </is>
      </c>
      <c r="C44" s="27" t="n">
        <v>30</v>
      </c>
    </row>
    <row r="46">
      <c r="A46" s="25" t="inlineStr">
        <is>
          <t>Semestre 4</t>
        </is>
      </c>
    </row>
    <row r="47">
      <c r="A47" s="26" t="inlineStr">
        <is>
          <t>UE</t>
        </is>
      </c>
      <c r="B47" s="26" t="inlineStr">
        <is>
          <t>ECUE (contenu des enseignements)</t>
        </is>
      </c>
      <c r="C47" s="26" t="inlineStr">
        <is>
          <t>Crédits CECT/UE</t>
        </is>
      </c>
    </row>
    <row r="48">
      <c r="A48" s="4" t="inlineStr">
        <is>
          <t>Facteurs biologiques de la performance</t>
        </is>
      </c>
      <c r="B48" s="4" t="inlineStr">
        <is>
          <t>ECUE 1 : Déterminants physiologiques de la performance sportive ; ECUE 2 : Déterminants biomécaniques de la performance sportive</t>
        </is>
      </c>
      <c r="C48" s="16" t="n">
        <v>4</v>
      </c>
    </row>
    <row r="49">
      <c r="A49" s="4" t="inlineStr">
        <is>
          <t>Facteurs psychosociologiques de la performance</t>
        </is>
      </c>
      <c r="B49" s="4" t="inlineStr">
        <is>
          <t>Déterminants psychologiques de la performance sportive</t>
        </is>
      </c>
      <c r="C49" s="16" t="n">
        <v>2</v>
      </c>
    </row>
    <row r="50">
      <c r="A50" s="4" t="inlineStr">
        <is>
          <t>Développement des qualités physiques</t>
        </is>
      </c>
      <c r="B50" s="4" t="inlineStr">
        <is>
          <t>ECUE 1 : Techniques de développement des qualités physiques 1 : vitesse, coordination et endurance ; ECUE 2 : idem 2 : force</t>
        </is>
      </c>
      <c r="C50" s="16" t="n">
        <v>4</v>
      </c>
    </row>
    <row r="51">
      <c r="A51" s="4" t="inlineStr">
        <is>
          <t>Formation au métier d'entraîneur 1</t>
        </is>
      </c>
      <c r="B51" s="4" t="inlineStr">
        <is>
          <t>Préparation du diplôme fédéral d'entraîneur 1 (pédagogie des 8-12 ans)</t>
        </is>
      </c>
      <c r="C51" s="16" t="n">
        <v>3</v>
      </c>
    </row>
    <row r="52">
      <c r="A52" s="4" t="inlineStr">
        <is>
          <t>Spécialisation théorique et pratique dans une APS</t>
        </is>
      </c>
      <c r="B52" s="4" t="inlineStr">
        <is>
          <t>Théorie et pratique de l'entraînement de l'APS de spécialité</t>
        </is>
      </c>
      <c r="C52" s="16" t="n">
        <v>2</v>
      </c>
    </row>
    <row r="53">
      <c r="A53" s="4" t="inlineStr">
        <is>
          <t>Pratique des APS et entraînement</t>
        </is>
      </c>
      <c r="B53" s="4" t="inlineStr">
        <is>
          <t>Méthodologie de l'entraînement sportif 1</t>
        </is>
      </c>
      <c r="C53" s="16" t="n">
        <v>3</v>
      </c>
    </row>
    <row r="54">
      <c r="A54" s="4" t="inlineStr">
        <is>
          <t>Pré-professionnalisation</t>
        </is>
      </c>
      <c r="B54" s="4" t="inlineStr">
        <is>
          <t>Stage d'entraîneur dans une structure sportive</t>
        </is>
      </c>
      <c r="C54" s="16" t="n">
        <v>4</v>
      </c>
    </row>
    <row r="55">
      <c r="A55" s="4" t="inlineStr">
        <is>
          <t>Technologie de l'information et de la communication</t>
        </is>
      </c>
      <c r="B55" s="4" t="inlineStr">
        <is>
          <t>Initiation à l'informatique et application à l'analyse de la performance sportive</t>
        </is>
      </c>
      <c r="C55" s="16" t="n">
        <v>3</v>
      </c>
    </row>
    <row r="56">
      <c r="A56" s="4" t="inlineStr">
        <is>
          <t>Méthodologie de la recherche</t>
        </is>
      </c>
      <c r="B56" s="4" t="inlineStr">
        <is>
          <t>Introduction à la méthodologie de la recherche scientifique</t>
        </is>
      </c>
      <c r="C56" s="16" t="n">
        <v>3</v>
      </c>
    </row>
    <row r="57">
      <c r="A57" s="4" t="inlineStr">
        <is>
          <t>Technique de communication écrite et orale</t>
        </is>
      </c>
      <c r="B57" s="4" t="inlineStr">
        <is>
          <t>Anglais spécifique à l'entraînement sportif</t>
        </is>
      </c>
      <c r="C57" s="16" t="n">
        <v>2</v>
      </c>
    </row>
    <row r="58">
      <c r="B58" s="20" t="inlineStr">
        <is>
          <t>TOTAL Semestre 4</t>
        </is>
      </c>
      <c r="C58" s="27" t="n">
        <v>30</v>
      </c>
    </row>
    <row r="60">
      <c r="A60" s="25" t="inlineStr">
        <is>
          <t>Semestre 5</t>
        </is>
      </c>
    </row>
    <row r="61">
      <c r="A61" s="26" t="inlineStr">
        <is>
          <t>UE</t>
        </is>
      </c>
      <c r="B61" s="26" t="inlineStr">
        <is>
          <t>ECUE (contenu des enseignements)</t>
        </is>
      </c>
      <c r="C61" s="26" t="inlineStr">
        <is>
          <t>Crédits CECT/UE</t>
        </is>
      </c>
    </row>
    <row r="62">
      <c r="A62" s="4" t="inlineStr">
        <is>
          <t>Management des fédérations sportives</t>
        </is>
      </c>
      <c r="B62" s="4" t="inlineStr">
        <is>
          <t>Management des fédérations sportives nationales 1</t>
        </is>
      </c>
      <c r="C62" s="16" t="n">
        <v>2</v>
      </c>
    </row>
    <row r="63">
      <c r="A63" s="4" t="inlineStr">
        <is>
          <t>Droit et sport de haut niveau</t>
        </is>
      </c>
      <c r="B63" s="4" t="inlineStr">
        <is>
          <t>Cadre institutionnel et législatif du sport en Côte d'Ivoire</t>
        </is>
      </c>
      <c r="C63" s="16" t="n">
        <v>2</v>
      </c>
    </row>
    <row r="64">
      <c r="A64" s="4" t="inlineStr">
        <is>
          <t>Pratique des APS et entraînement sportif</t>
        </is>
      </c>
      <c r="B64" s="4" t="inlineStr">
        <is>
          <t>ECUE 1 : Techniques de développement des qualités physiques 3 : étirements, relaxations et massages ; ECUE 2 : idem 4 : musculation sans charge et avec charge (force)</t>
        </is>
      </c>
      <c r="C64" s="16" t="n">
        <v>4</v>
      </c>
    </row>
    <row r="65">
      <c r="A65" s="4" t="inlineStr">
        <is>
          <t>Formation au métier d'entraîneur 2</t>
        </is>
      </c>
      <c r="B65" s="4" t="inlineStr">
        <is>
          <t>Préparation du diplôme fédéral d'entraîneur 2 (méthodes d'entraînement spécifique)</t>
        </is>
      </c>
      <c r="C65" s="16" t="n">
        <v>3</v>
      </c>
    </row>
    <row r="66">
      <c r="A66" s="4" t="inlineStr">
        <is>
          <t>Spécialisation théorique et pratique dans une APS</t>
        </is>
      </c>
      <c r="B66" s="4" t="inlineStr">
        <is>
          <t>Théorie et pratique de l'entraînement de l'APS de spécialité</t>
        </is>
      </c>
      <c r="C66" s="16" t="n">
        <v>5</v>
      </c>
    </row>
    <row r="67">
      <c r="A67" s="4" t="inlineStr">
        <is>
          <t>Entraînement et performance sportive</t>
        </is>
      </c>
      <c r="B67" s="4" t="inlineStr">
        <is>
          <t>ECUE 1 : Méthodologie de l'entraînement sportif 2 ; ECUE 2 : Intégration des facteurs de la performance sportive</t>
        </is>
      </c>
      <c r="C67" s="16" t="n">
        <v>6</v>
      </c>
    </row>
    <row r="68">
      <c r="A68" s="4" t="inlineStr">
        <is>
          <t>Brevet National de Secourisme</t>
        </is>
      </c>
      <c r="B68" s="4" t="inlineStr">
        <is>
          <t>Préparation au BNS niveau 3</t>
        </is>
      </c>
      <c r="C68" s="16" t="n">
        <v>2</v>
      </c>
    </row>
    <row r="69">
      <c r="A69" s="4" t="inlineStr">
        <is>
          <t>Méthodologie de la recherche</t>
        </is>
      </c>
      <c r="B69" s="4" t="inlineStr">
        <is>
          <t>Initiation à la méthodologie de la recherche scientifique : élaboration de projet de recherche</t>
        </is>
      </c>
      <c r="C69" s="16" t="n">
        <v>2</v>
      </c>
    </row>
    <row r="70">
      <c r="A70" s="4" t="inlineStr">
        <is>
          <t>Technique d'expression écrite et orale</t>
        </is>
      </c>
      <c r="B70" s="4" t="inlineStr">
        <is>
          <t>Anglais spécifique à l'entraînement sportif</t>
        </is>
      </c>
      <c r="C70" s="16" t="n">
        <v>2</v>
      </c>
    </row>
    <row r="71">
      <c r="A71" s="4" t="inlineStr">
        <is>
          <t>Life Skills</t>
        </is>
      </c>
      <c r="B71" s="4" t="inlineStr">
        <is>
          <t>ECUE 1 : Adolescence : éthique et morale en milieu sportif ; ECUE 2 : Culture civique</t>
        </is>
      </c>
      <c r="C71" s="16" t="n">
        <v>2</v>
      </c>
    </row>
    <row r="72">
      <c r="B72" s="20" t="inlineStr">
        <is>
          <t>TOTAL Semestre 5</t>
        </is>
      </c>
      <c r="C72" s="27" t="n">
        <v>30</v>
      </c>
    </row>
    <row r="74">
      <c r="A74" s="25" t="inlineStr">
        <is>
          <t>Semestre 6</t>
        </is>
      </c>
    </row>
    <row r="75">
      <c r="A75" s="26" t="inlineStr">
        <is>
          <t>UE</t>
        </is>
      </c>
      <c r="B75" s="26" t="inlineStr">
        <is>
          <t>ECUE (contenu des enseignements)</t>
        </is>
      </c>
      <c r="C75" s="26" t="inlineStr">
        <is>
          <t>Crédits CECT/UE</t>
        </is>
      </c>
    </row>
    <row r="76">
      <c r="A76" s="4" t="inlineStr">
        <is>
          <t>Management des fédérations sportives</t>
        </is>
      </c>
      <c r="B76" s="4" t="inlineStr">
        <is>
          <t>Management des fédérations sportives nationales 2</t>
        </is>
      </c>
      <c r="C76" s="16" t="n">
        <v>2</v>
      </c>
    </row>
    <row r="77">
      <c r="A77" s="4" t="inlineStr">
        <is>
          <t>Nutrition du sportif</t>
        </is>
      </c>
      <c r="B77" s="4" t="inlineStr">
        <is>
          <t>Diététique et nutrition appliquées à l'entraînement sportif</t>
        </is>
      </c>
      <c r="C77" s="16" t="n">
        <v>2</v>
      </c>
    </row>
    <row r="78">
      <c r="A78" s="4" t="inlineStr">
        <is>
          <t>Management de la compétition</t>
        </is>
      </c>
      <c r="B78" s="4" t="inlineStr">
        <is>
          <t>Préparation mentale et coaching d'athlètes en compétition</t>
        </is>
      </c>
      <c r="C78" s="16" t="n">
        <v>3</v>
      </c>
    </row>
    <row r="79">
      <c r="A79" s="4" t="inlineStr">
        <is>
          <t>Pratique des APS et entraînement sportif</t>
        </is>
      </c>
      <c r="B79" s="4" t="inlineStr">
        <is>
          <t>ECUE 1 : Techniques d'analyse de la performance sportive ; ECUE 2 : Méthodologie de l'entraînement sportif 3</t>
        </is>
      </c>
      <c r="C79" s="16" t="n">
        <v>4</v>
      </c>
    </row>
    <row r="80">
      <c r="A80" s="4" t="inlineStr">
        <is>
          <t>Formation au métier d'entraîneur 3</t>
        </is>
      </c>
      <c r="B80" s="4" t="inlineStr">
        <is>
          <t>Préparation du diplôme fédéral d'entraîneur 3 (méthodes d'entraînement cognitives et psychologiques)</t>
        </is>
      </c>
      <c r="C80" s="16" t="n">
        <v>3</v>
      </c>
    </row>
    <row r="81">
      <c r="A81" s="4" t="inlineStr">
        <is>
          <t>Spécialisation théorique et pratique dans une APS</t>
        </is>
      </c>
      <c r="B81" s="4" t="inlineStr">
        <is>
          <t>Théorie et pratique de l'entraînement de l'APS de spécialité</t>
        </is>
      </c>
      <c r="C81" s="16" t="n">
        <v>4</v>
      </c>
    </row>
    <row r="82">
      <c r="A82" s="4" t="inlineStr">
        <is>
          <t>Réathlétisation des athlètes</t>
        </is>
      </c>
      <c r="B82" s="4" t="inlineStr">
        <is>
          <t>Prise en charge d'athlètes en fatigue, surentraînement, blessure et récupération</t>
        </is>
      </c>
      <c r="C82" s="16" t="n">
        <v>3</v>
      </c>
    </row>
    <row r="83">
      <c r="A83" s="4" t="inlineStr">
        <is>
          <t>Pré-professionnalisation</t>
        </is>
      </c>
      <c r="B83" s="4" t="inlineStr">
        <is>
          <t>Stage d'entraînement dans une fédération sportive</t>
        </is>
      </c>
      <c r="C83" s="16" t="n">
        <v>4</v>
      </c>
    </row>
    <row r="84">
      <c r="A84" s="4" t="inlineStr">
        <is>
          <t>Formation à la recherche scientifique</t>
        </is>
      </c>
      <c r="B84" s="4" t="inlineStr">
        <is>
          <t>Séminaire de recherche : élaboration de projet de mémoire</t>
        </is>
      </c>
      <c r="C84" s="16" t="n">
        <v>3</v>
      </c>
    </row>
    <row r="85">
      <c r="A85" s="4" t="inlineStr">
        <is>
          <t>Technique d'expression écrite et orale</t>
        </is>
      </c>
      <c r="B85" s="4" t="inlineStr">
        <is>
          <t>Anglais spécifique à l'entraînement sportif</t>
        </is>
      </c>
      <c r="C85" s="16" t="n">
        <v>2</v>
      </c>
    </row>
    <row r="86">
      <c r="B86" s="20" t="inlineStr">
        <is>
          <t>TOTAL Semestre 6</t>
        </is>
      </c>
      <c r="C86" s="27" t="n">
        <v>30</v>
      </c>
    </row>
    <row r="88">
      <c r="A88" s="28" t="inlineStr">
        <is>
          <t>TOTAL LICENCE : 180 crédits</t>
        </is>
      </c>
    </row>
    <row r="90">
      <c r="A90" s="23" t="inlineStr">
        <is>
          <t>🎓 PARCOURS MASTER</t>
        </is>
      </c>
      <c r="B90" s="24" t="n"/>
      <c r="C90" s="24" t="n"/>
      <c r="D90" s="24" t="n"/>
    </row>
    <row r="91">
      <c r="A91" s="25" t="inlineStr">
        <is>
          <t>Semestre 1 (M1/S7)</t>
        </is>
      </c>
    </row>
    <row r="92">
      <c r="A92" s="26" t="inlineStr">
        <is>
          <t>UE</t>
        </is>
      </c>
      <c r="B92" s="26" t="inlineStr">
        <is>
          <t>ECUE (contenu des enseignements)</t>
        </is>
      </c>
      <c r="C92" s="26" t="inlineStr">
        <is>
          <t>Crédits CECT/UE</t>
        </is>
      </c>
    </row>
    <row r="93">
      <c r="A93" s="4" t="inlineStr">
        <is>
          <t>Sciences humaines et performance sportive</t>
        </is>
      </c>
      <c r="B93" s="4" t="inlineStr">
        <is>
          <t>Déterminants sociologiques de la performance sportive</t>
        </is>
      </c>
      <c r="C93" s="16" t="n">
        <v>2</v>
      </c>
    </row>
    <row r="94">
      <c r="A94" s="4" t="inlineStr">
        <is>
          <t>Optimisation de la performance</t>
        </is>
      </c>
      <c r="B94" s="4" t="inlineStr">
        <is>
          <t>Évaluation des qualités physiques et facteurs limitants (endurance, puissance, équilibre, coordination)</t>
        </is>
      </c>
      <c r="C94" s="16" t="n">
        <v>3</v>
      </c>
    </row>
    <row r="95">
      <c r="A95" s="4" t="inlineStr">
        <is>
          <t>Construction et mise en œuvre du projet de performance</t>
        </is>
      </c>
      <c r="B95" s="4" t="inlineStr">
        <is>
          <t>ECUE 1 : Détecter, sélectionner et former des sportifs de haut niveau ; ECUE 2 : Planification et régulation des composantes de la performance sur la saison</t>
        </is>
      </c>
      <c r="C95" s="16" t="n">
        <v>6</v>
      </c>
    </row>
    <row r="96">
      <c r="A96" s="4" t="inlineStr">
        <is>
          <t>Formation à l'entraînement</t>
        </is>
      </c>
      <c r="B96" s="4" t="inlineStr">
        <is>
          <t>Préparation au brevet fédéral d'entraîneur 1</t>
        </is>
      </c>
      <c r="C96" s="16" t="n">
        <v>4</v>
      </c>
    </row>
    <row r="97">
      <c r="A97" s="4" t="inlineStr">
        <is>
          <t>Spécialisation théorique et pratique dans une APS</t>
        </is>
      </c>
      <c r="B97" s="4" t="inlineStr">
        <is>
          <t>APS de spécialité</t>
        </is>
      </c>
      <c r="C97" s="16" t="n">
        <v>5</v>
      </c>
    </row>
    <row r="98">
      <c r="A98" s="4" t="inlineStr">
        <is>
          <t>Méthodologie de la recherche : aspects théoriques</t>
        </is>
      </c>
      <c r="B98" s="4" t="inlineStr">
        <is>
          <t>Conception d'instruments de collecte de données</t>
        </is>
      </c>
      <c r="C98" s="16" t="n">
        <v>4</v>
      </c>
    </row>
    <row r="99">
      <c r="A99" s="4" t="inlineStr">
        <is>
          <t>Formation à la recherche</t>
        </is>
      </c>
      <c r="B99" s="4" t="inlineStr">
        <is>
          <t>Séminaire de recherche en entraînement sportif</t>
        </is>
      </c>
      <c r="C99" s="16" t="n">
        <v>4</v>
      </c>
    </row>
    <row r="100">
      <c r="A100" s="4" t="inlineStr">
        <is>
          <t>Technique d'expression écrite et orale</t>
        </is>
      </c>
      <c r="B100" s="4" t="inlineStr">
        <is>
          <t>Anglais professionnel</t>
        </is>
      </c>
      <c r="C100" s="16" t="n">
        <v>2</v>
      </c>
    </row>
    <row r="101">
      <c r="B101" s="20" t="inlineStr">
        <is>
          <t>TOTAL Semestre 1 (M1/S7)</t>
        </is>
      </c>
      <c r="C101" s="27" t="n">
        <v>30</v>
      </c>
    </row>
    <row r="103">
      <c r="A103" s="25" t="inlineStr">
        <is>
          <t>Semestre 2 (M1/S8)</t>
        </is>
      </c>
    </row>
    <row r="104">
      <c r="A104" s="26" t="inlineStr">
        <is>
          <t>UE</t>
        </is>
      </c>
      <c r="B104" s="26" t="inlineStr">
        <is>
          <t>ECUE (contenu des enseignements)</t>
        </is>
      </c>
      <c r="C104" s="26" t="inlineStr">
        <is>
          <t>Crédits CECT/UE</t>
        </is>
      </c>
    </row>
    <row r="105">
      <c r="A105" s="4" t="inlineStr">
        <is>
          <t>Adaptation à l'exercice</t>
        </is>
      </c>
      <c r="B105" s="4" t="inlineStr">
        <is>
          <t>ECUE 1 : Adaptation cardiovasculaire à l'exercice ; ECUE 2 : Traumatologie du sport 2</t>
        </is>
      </c>
      <c r="C105" s="16" t="n">
        <v>4</v>
      </c>
    </row>
    <row r="106">
      <c r="A106" s="4" t="inlineStr">
        <is>
          <t>Spécialisation théorique et pratique dans une APS</t>
        </is>
      </c>
      <c r="B106" s="4" t="inlineStr">
        <is>
          <t>APS de spécialité</t>
        </is>
      </c>
      <c r="C106" s="16" t="n">
        <v>3</v>
      </c>
    </row>
    <row r="107">
      <c r="A107" s="4" t="inlineStr">
        <is>
          <t>Formation à l'entraînement</t>
        </is>
      </c>
      <c r="B107" s="4" t="inlineStr">
        <is>
          <t>Préparation au brevet fédéral d'entraîneur 2</t>
        </is>
      </c>
      <c r="C107" s="16" t="n">
        <v>3</v>
      </c>
    </row>
    <row r="108">
      <c r="A108" s="4" t="inlineStr">
        <is>
          <t>Secourisme</t>
        </is>
      </c>
      <c r="B108" s="4" t="inlineStr">
        <is>
          <t>Préparation au Brevet National de Secourisme 2</t>
        </is>
      </c>
      <c r="C108" s="16" t="n">
        <v>2</v>
      </c>
    </row>
    <row r="109">
      <c r="A109" s="4" t="inlineStr">
        <is>
          <t>Formation professionnelle</t>
        </is>
      </c>
      <c r="B109" s="4" t="inlineStr">
        <is>
          <t>Stage professionnel dans un club sportif : élaboration d'un projet</t>
        </is>
      </c>
      <c r="C109" s="16" t="n">
        <v>5</v>
      </c>
    </row>
    <row r="110">
      <c r="A110" s="4" t="inlineStr">
        <is>
          <t>Théorie de la méthodologie de la recherche</t>
        </is>
      </c>
      <c r="B110" s="4" t="inlineStr">
        <is>
          <t>Méthodologie de la recherche scientifique 2 : conception des instruments de collecte de données</t>
        </is>
      </c>
      <c r="C110" s="16" t="n">
        <v>3</v>
      </c>
    </row>
    <row r="111">
      <c r="A111" s="4" t="inlineStr">
        <is>
          <t>Formation à la recherche</t>
        </is>
      </c>
      <c r="B111" s="4" t="inlineStr">
        <is>
          <t>Séminaire de recherche en entraînement sportif</t>
        </is>
      </c>
      <c r="C111" s="16" t="n">
        <v>4</v>
      </c>
    </row>
    <row r="112">
      <c r="A112" s="4" t="inlineStr">
        <is>
          <t>Technique d'expression écrite et orale</t>
        </is>
      </c>
      <c r="B112" s="4" t="inlineStr">
        <is>
          <t>Anglais professionnel : analyse d'un système d'entraînement ou de formation</t>
        </is>
      </c>
      <c r="C112" s="16" t="n">
        <v>2</v>
      </c>
    </row>
    <row r="113">
      <c r="A113" s="4" t="inlineStr">
        <is>
          <t>Formation administrative</t>
        </is>
      </c>
      <c r="B113" s="4" t="inlineStr">
        <is>
          <t>ECUE 1 : Droits et devoirs du fonctionnaire ; ECUE 2 : Rédaction administrative</t>
        </is>
      </c>
      <c r="C113" s="16" t="n">
        <v>4</v>
      </c>
    </row>
    <row r="114">
      <c r="B114" s="20" t="inlineStr">
        <is>
          <t>TOTAL Semestre 2 (M1/S8)</t>
        </is>
      </c>
      <c r="C114" s="27" t="n">
        <v>30</v>
      </c>
    </row>
    <row r="116">
      <c r="A116" s="25" t="inlineStr">
        <is>
          <t>Semestre 3 (M2/S9)</t>
        </is>
      </c>
    </row>
    <row r="117">
      <c r="A117" s="26" t="inlineStr">
        <is>
          <t>UE</t>
        </is>
      </c>
      <c r="B117" s="26" t="inlineStr">
        <is>
          <t>ECUE (contenu des enseignements)</t>
        </is>
      </c>
      <c r="C117" s="26" t="inlineStr">
        <is>
          <t>Crédits CECT/UE</t>
        </is>
      </c>
    </row>
    <row r="118">
      <c r="A118" s="4" t="inlineStr">
        <is>
          <t>Professionnalisation</t>
        </is>
      </c>
      <c r="B118" s="4" t="inlineStr">
        <is>
          <t>Stage professionnel dans un club sportif : conduite d'un projet</t>
        </is>
      </c>
      <c r="C118" s="16" t="n">
        <v>15</v>
      </c>
    </row>
    <row r="119">
      <c r="A119" s="4" t="inlineStr">
        <is>
          <t>Formation à la recherche</t>
        </is>
      </c>
      <c r="B119" s="4" t="inlineStr">
        <is>
          <t>Séminaire de recherche 3 en entraînement sportif</t>
        </is>
      </c>
      <c r="C119" s="16" t="n">
        <v>7</v>
      </c>
    </row>
    <row r="120">
      <c r="A120" s="4" t="inlineStr">
        <is>
          <t>Méthodologie de la recherche</t>
        </is>
      </c>
      <c r="B120" s="4" t="inlineStr">
        <is>
          <t>ECUE 1 : MRS 3 : analyse des données et discussion ; ECUE 2 : Statistiques descriptives et inférentielles 2</t>
        </is>
      </c>
      <c r="C120" s="16" t="n">
        <v>8</v>
      </c>
    </row>
    <row r="121">
      <c r="B121" s="20" t="inlineStr">
        <is>
          <t>TOTAL Semestre 3 (M2/S9)</t>
        </is>
      </c>
      <c r="C121" s="27" t="n">
        <v>30</v>
      </c>
    </row>
    <row r="123">
      <c r="A123" s="25" t="inlineStr">
        <is>
          <t>Semestre 4 (M2/S10)</t>
        </is>
      </c>
    </row>
    <row r="124">
      <c r="A124" s="26" t="inlineStr">
        <is>
          <t>UE</t>
        </is>
      </c>
      <c r="B124" s="26" t="inlineStr">
        <is>
          <t>ECUE (contenu des enseignements)</t>
        </is>
      </c>
      <c r="C124" s="26" t="inlineStr">
        <is>
          <t>Crédits CECT/UE</t>
        </is>
      </c>
    </row>
    <row r="125">
      <c r="A125" s="4" t="inlineStr">
        <is>
          <t>Formation à la recherche</t>
        </is>
      </c>
      <c r="B125" s="4" t="inlineStr">
        <is>
          <t>Travaux de recherche : mémoire</t>
        </is>
      </c>
      <c r="C125" s="16" t="n">
        <v>15</v>
      </c>
    </row>
    <row r="126">
      <c r="A126" s="4" t="inlineStr">
        <is>
          <t>Formation professionnelle</t>
        </is>
      </c>
      <c r="B126" s="4" t="inlineStr">
        <is>
          <t>Stage professionnel dans un club sportif : conduite d'un projet</t>
        </is>
      </c>
      <c r="C126" s="16" t="n">
        <v>15</v>
      </c>
    </row>
    <row r="127">
      <c r="B127" s="20" t="inlineStr">
        <is>
          <t>TOTAL Semestre 4 (M2/S10)</t>
        </is>
      </c>
      <c r="C127" s="27" t="n">
        <v>30</v>
      </c>
    </row>
    <row r="129">
      <c r="A129" s="28" t="inlineStr">
        <is>
          <t>TOTAL MASTER : 120 crédits</t>
        </is>
      </c>
    </row>
  </sheetData>
  <mergeCells count="12">
    <mergeCell ref="A116:D116"/>
    <mergeCell ref="A5:D5"/>
    <mergeCell ref="A103:D103"/>
    <mergeCell ref="A18:D18"/>
    <mergeCell ref="A31:D31"/>
    <mergeCell ref="A74:D74"/>
    <mergeCell ref="A60:D60"/>
    <mergeCell ref="A91:D91"/>
    <mergeCell ref="A4:D4"/>
    <mergeCell ref="A46:D46"/>
    <mergeCell ref="A90:D90"/>
    <mergeCell ref="A123:D1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52" customWidth="1" min="1" max="1"/>
    <col width="85" customWidth="1" min="2" max="2"/>
    <col width="18" customWidth="1" min="3" max="3"/>
  </cols>
  <sheetData>
    <row r="1">
      <c r="A1" s="13" t="inlineStr">
        <is>
          <t>11. MAQUETTE « ACTIVITÉS PHYSIQUES ADAPTÉES (APA) » — ENSEPS — filière STAPS</t>
        </is>
      </c>
    </row>
    <row r="2">
      <c r="A2" s="19" t="inlineStr">
        <is>
          <t>UE = Unité d'Enseignement ; ECUE = Élément Constitutif d'UE ; CECT = crédits. Chaque semestre = 30 crédits.</t>
        </is>
      </c>
    </row>
    <row r="4">
      <c r="A4" s="23" t="inlineStr">
        <is>
          <t>🎓 PARCOURS LICENCE</t>
        </is>
      </c>
      <c r="B4" s="24" t="n"/>
      <c r="C4" s="24" t="n"/>
      <c r="D4" s="24" t="n"/>
    </row>
    <row r="5">
      <c r="A5" s="25" t="inlineStr">
        <is>
          <t>Semestre 1</t>
        </is>
      </c>
    </row>
    <row r="6">
      <c r="A6" s="26" t="inlineStr">
        <is>
          <t>UE</t>
        </is>
      </c>
      <c r="B6" s="26" t="inlineStr">
        <is>
          <t>ECUE (contenu des enseignements)</t>
        </is>
      </c>
      <c r="C6" s="26" t="inlineStr">
        <is>
          <t>Crédits CECT/UE</t>
        </is>
      </c>
    </row>
    <row r="7">
      <c r="A7" s="4" t="inlineStr">
        <is>
          <t>Sciences de la vie et de la santé</t>
        </is>
      </c>
      <c r="B7" s="4" t="inlineStr">
        <is>
          <t>ECUE 1 : Anatomie descriptive du squelette appendiculaire ; ECUE 2 : Anatomie fonctionnelle du corps humain</t>
        </is>
      </c>
      <c r="C7" s="16" t="n">
        <v>6</v>
      </c>
    </row>
    <row r="8">
      <c r="A8" s="4" t="inlineStr">
        <is>
          <t>Sciences humaines et sociales</t>
        </is>
      </c>
      <c r="B8" s="4" t="inlineStr">
        <is>
          <t>ECUE 1 : Introduction à la psychologie générale ; ECUE 2 : Psychologie de l'apprentissage et du développement</t>
        </is>
      </c>
      <c r="C8" s="16" t="n">
        <v>4</v>
      </c>
    </row>
    <row r="9">
      <c r="A9" s="4" t="inlineStr">
        <is>
          <t>Sciences de l'intervention</t>
        </is>
      </c>
      <c r="B9" s="4" t="inlineStr">
        <is>
          <t>Concepts de base en intervention des APS</t>
        </is>
      </c>
      <c r="C9" s="16" t="n">
        <v>2</v>
      </c>
    </row>
    <row r="10">
      <c r="A10" s="4" t="inlineStr">
        <is>
          <t>Initiation aux fondamentaux du football</t>
        </is>
      </c>
      <c r="B10" s="4" t="inlineStr">
        <is>
          <t>Football : Fondamentaux</t>
        </is>
      </c>
      <c r="C10" s="16" t="n">
        <v>3</v>
      </c>
    </row>
    <row r="11">
      <c r="A11" s="4" t="inlineStr">
        <is>
          <t>Initiation aux fondamentaux du handball</t>
        </is>
      </c>
      <c r="B11" s="4" t="inlineStr">
        <is>
          <t>Handball : Fondamentaux</t>
        </is>
      </c>
      <c r="C11" s="16" t="n">
        <v>3</v>
      </c>
    </row>
    <row r="12">
      <c r="A12" s="4" t="inlineStr">
        <is>
          <t>Initiation aux fondamentaux de la gymnastique</t>
        </is>
      </c>
      <c r="B12" s="4" t="inlineStr">
        <is>
          <t>Gymnastique : Fondamentaux</t>
        </is>
      </c>
      <c r="C12" s="16" t="n">
        <v>2</v>
      </c>
    </row>
    <row r="13">
      <c r="A13" s="4" t="inlineStr">
        <is>
          <t>Initiation aux fondamentaux de l'athlétisme</t>
        </is>
      </c>
      <c r="B13" s="4" t="inlineStr">
        <is>
          <t>Fondamentaux des courses et des sauts</t>
        </is>
      </c>
      <c r="C13" s="16" t="n">
        <v>3</v>
      </c>
    </row>
    <row r="14">
      <c r="A14" s="4" t="inlineStr">
        <is>
          <t>Spécialisation théorique et pratique dans une APS</t>
        </is>
      </c>
      <c r="B14" s="4" t="inlineStr">
        <is>
          <t>APS de spécialité (choix d'un sport de spécialité)</t>
        </is>
      </c>
      <c r="C14" s="16" t="n">
        <v>3</v>
      </c>
    </row>
    <row r="15">
      <c r="A15" s="4" t="inlineStr">
        <is>
          <t>Techniques de communication écrite et orale</t>
        </is>
      </c>
      <c r="B15" s="4" t="inlineStr">
        <is>
          <t>ECUE 1 : Étude des styles de rédaction en langue française ; ECUE 2 : Anglais : vocabulaire du sport</t>
        </is>
      </c>
      <c r="C15" s="16" t="n">
        <v>4</v>
      </c>
    </row>
    <row r="16">
      <c r="B16" s="20" t="inlineStr">
        <is>
          <t>TOTAL Semestre 1</t>
        </is>
      </c>
      <c r="C16" s="27" t="n">
        <v>30</v>
      </c>
    </row>
    <row r="18">
      <c r="A18" s="25" t="inlineStr">
        <is>
          <t>Semestre 2</t>
        </is>
      </c>
    </row>
    <row r="19">
      <c r="A19" s="26" t="inlineStr">
        <is>
          <t>UE</t>
        </is>
      </c>
      <c r="B19" s="26" t="inlineStr">
        <is>
          <t>ECUE (contenu des enseignements)</t>
        </is>
      </c>
      <c r="C19" s="26" t="inlineStr">
        <is>
          <t>Crédits CECT/UE</t>
        </is>
      </c>
    </row>
    <row r="20">
      <c r="A20" s="4" t="inlineStr">
        <is>
          <t>Sciences de la vie et de la santé</t>
        </is>
      </c>
      <c r="B20" s="4" t="inlineStr">
        <is>
          <t>ECUE 1 : Physiologie neuromusculaire, métabolisme et APS ; ECUE 2 : Physiologie des grandes fonctions</t>
        </is>
      </c>
      <c r="C20" s="16" t="n">
        <v>6</v>
      </c>
    </row>
    <row r="21">
      <c r="A21" s="4" t="inlineStr">
        <is>
          <t>Sciences humaines et sociales 1</t>
        </is>
      </c>
      <c r="B21" s="4" t="inlineStr">
        <is>
          <t>ECUE 1 : Introduction à la sociologie ; ECUE 2 : Sociologie du jeu et des APS</t>
        </is>
      </c>
      <c r="C21" s="16" t="n">
        <v>4</v>
      </c>
    </row>
    <row r="22">
      <c r="A22" s="4" t="inlineStr">
        <is>
          <t>Initiation aux fondamentaux du rugby</t>
        </is>
      </c>
      <c r="B22" s="4" t="inlineStr">
        <is>
          <t>Rugby : Fondamentaux</t>
        </is>
      </c>
      <c r="C22" s="16" t="n">
        <v>3</v>
      </c>
    </row>
    <row r="23">
      <c r="A23" s="4" t="inlineStr">
        <is>
          <t>Initiation aux fondamentaux du basketball</t>
        </is>
      </c>
      <c r="B23" s="4" t="inlineStr">
        <is>
          <t>Basketball : Fondamentaux</t>
        </is>
      </c>
      <c r="C23" s="16" t="n">
        <v>3</v>
      </c>
    </row>
    <row r="24">
      <c r="A24" s="4" t="inlineStr">
        <is>
          <t>Initiation aux fondamentaux de la gymnastique II</t>
        </is>
      </c>
      <c r="B24" s="4" t="inlineStr">
        <is>
          <t>Gymnastique 2 : fondamentaux</t>
        </is>
      </c>
      <c r="C24" s="16" t="n">
        <v>3</v>
      </c>
    </row>
    <row r="25">
      <c r="A25" s="4" t="inlineStr">
        <is>
          <t>Initiation aux fondamentaux de l'athlétisme II</t>
        </is>
      </c>
      <c r="B25" s="4" t="inlineStr">
        <is>
          <t>Fondamentaux des courses de vitesse et des lancers</t>
        </is>
      </c>
      <c r="C25" s="16" t="n">
        <v>3</v>
      </c>
    </row>
    <row r="26">
      <c r="A26" s="4" t="inlineStr">
        <is>
          <t>Spécialisation théorique et pratique dans une APS</t>
        </is>
      </c>
      <c r="B26" s="4" t="inlineStr">
        <is>
          <t>APS de spécialité (choix d'un sport de spécialité)</t>
        </is>
      </c>
      <c r="C26" s="16" t="n">
        <v>3</v>
      </c>
    </row>
    <row r="27">
      <c r="A27" s="4" t="inlineStr">
        <is>
          <t>Initiation à l'environnement des TIC</t>
        </is>
      </c>
      <c r="B27" s="4" t="inlineStr">
        <is>
          <t>Formation à Microsoft Office Word</t>
        </is>
      </c>
      <c r="C27" s="16" t="n">
        <v>1</v>
      </c>
    </row>
    <row r="28">
      <c r="A28" s="4" t="inlineStr">
        <is>
          <t>Techniques de communication écrite et orale</t>
        </is>
      </c>
      <c r="B28" s="4" t="inlineStr">
        <is>
          <t>ECUE 1 : Anglais : communication orale (People and places) ; ECUE 2 : Français : expression orale et prise de parole en public</t>
        </is>
      </c>
      <c r="C28" s="16" t="n">
        <v>4</v>
      </c>
    </row>
    <row r="29">
      <c r="B29" s="20" t="inlineStr">
        <is>
          <t>TOTAL Semestre 2</t>
        </is>
      </c>
      <c r="C29" s="27" t="n">
        <v>30</v>
      </c>
    </row>
    <row r="31">
      <c r="A31" s="25" t="inlineStr">
        <is>
          <t>Semestre 3</t>
        </is>
      </c>
    </row>
    <row r="32">
      <c r="A32" s="26" t="inlineStr">
        <is>
          <t>UE</t>
        </is>
      </c>
      <c r="B32" s="26" t="inlineStr">
        <is>
          <t>ECUE (contenu des enseignements)</t>
        </is>
      </c>
      <c r="C32" s="26" t="inlineStr">
        <is>
          <t>Crédits CECT/UE</t>
        </is>
      </c>
    </row>
    <row r="33">
      <c r="A33" s="4" t="inlineStr">
        <is>
          <t>Sciences de la vie et de la santé</t>
        </is>
      </c>
      <c r="B33" s="4" t="inlineStr">
        <is>
          <t>ECUE 1 : Nutrition et APS ; ECUE 2 : Biomécanique du geste</t>
        </is>
      </c>
      <c r="C33" s="16" t="n">
        <v>4</v>
      </c>
    </row>
    <row r="34">
      <c r="A34" s="4" t="inlineStr">
        <is>
          <t>Sciences humaines et sociales appliquées aux APS</t>
        </is>
      </c>
      <c r="B34" s="4" t="inlineStr">
        <is>
          <t>Histoire du sport : naissance et développement du sport moderne</t>
        </is>
      </c>
      <c r="C34" s="16" t="n">
        <v>2</v>
      </c>
    </row>
    <row r="35">
      <c r="A35" s="4" t="inlineStr">
        <is>
          <t>Connaissances institutionnelles du sport</t>
        </is>
      </c>
      <c r="B35" s="4" t="inlineStr">
        <is>
          <t>Connaissances institutionnelles et législatives de l'organisation du sport</t>
        </is>
      </c>
      <c r="C35" s="16" t="n">
        <v>2</v>
      </c>
    </row>
    <row r="36">
      <c r="A36" s="4" t="inlineStr">
        <is>
          <t>Initiation aux fondamentaux du volleyball</t>
        </is>
      </c>
      <c r="B36" s="4" t="inlineStr">
        <is>
          <t>Volleyball : Fondamentaux</t>
        </is>
      </c>
      <c r="C36" s="16" t="n">
        <v>3</v>
      </c>
    </row>
    <row r="37">
      <c r="A37" s="4" t="inlineStr">
        <is>
          <t>Initiation aux sports de combat de préhension</t>
        </is>
      </c>
      <c r="B37" s="4" t="inlineStr">
        <is>
          <t>Judo : Fondamentaux ; Lutte : Fondamentaux</t>
        </is>
      </c>
      <c r="C37" s="16" t="n">
        <v>2</v>
      </c>
    </row>
    <row r="38">
      <c r="A38" s="4" t="inlineStr">
        <is>
          <t>Initiation aux sports de combat de percussion</t>
        </is>
      </c>
      <c r="B38" s="4" t="inlineStr">
        <is>
          <t>Boxe : Fondamentaux ; Taekwondo : Fondamentaux</t>
        </is>
      </c>
      <c r="C38" s="16" t="n">
        <v>2</v>
      </c>
    </row>
    <row r="39">
      <c r="A39" s="4" t="inlineStr">
        <is>
          <t>Initiation aux sports d'entretien et santé</t>
        </is>
      </c>
      <c r="B39" s="4" t="inlineStr">
        <is>
          <t>Fitness et Conditionnement physique</t>
        </is>
      </c>
      <c r="C39" s="16" t="n">
        <v>2</v>
      </c>
    </row>
    <row r="40">
      <c r="A40" s="4" t="inlineStr">
        <is>
          <t>Matérialisation des plateaux de pratique des APS et performance</t>
        </is>
      </c>
      <c r="B40" s="4" t="inlineStr">
        <is>
          <t>Techniques de traçage des aires de pratique sportive et utilisation des instruments de mesure de la performance</t>
        </is>
      </c>
      <c r="C40" s="16" t="n">
        <v>3</v>
      </c>
    </row>
    <row r="41">
      <c r="A41" s="4" t="inlineStr">
        <is>
          <t>Spécialisation théorique et pratique dans une APS</t>
        </is>
      </c>
      <c r="B41" s="4" t="inlineStr">
        <is>
          <t>APS de spécialité (choix d'un sport de spécialité)</t>
        </is>
      </c>
      <c r="C41" s="16" t="n">
        <v>3</v>
      </c>
    </row>
    <row r="42">
      <c r="A42" s="4" t="inlineStr">
        <is>
          <t>Pré-professionnalisation</t>
        </is>
      </c>
      <c r="B42" s="4" t="inlineStr">
        <is>
          <t>Stage pédagogique au primaire : animation sportive 1re étape</t>
        </is>
      </c>
      <c r="C42" s="16" t="n">
        <v>3</v>
      </c>
    </row>
    <row r="43">
      <c r="A43" s="4" t="inlineStr">
        <is>
          <t>Techniques d'expression écrite et orale</t>
        </is>
      </c>
      <c r="B43" s="4" t="inlineStr">
        <is>
          <t>ECUE 1 : Anglais : communication orale (People and places : sport) ; ECUE 2 : Français : expression orale et prise de parole en public</t>
        </is>
      </c>
      <c r="C43" s="16" t="n">
        <v>4</v>
      </c>
    </row>
    <row r="44">
      <c r="B44" s="20" t="inlineStr">
        <is>
          <t>TOTAL Semestre 3</t>
        </is>
      </c>
      <c r="C44" s="27" t="n">
        <v>30</v>
      </c>
    </row>
    <row r="46">
      <c r="A46" s="25" t="inlineStr">
        <is>
          <t>Semestre 4</t>
        </is>
      </c>
    </row>
    <row r="47">
      <c r="A47" s="26" t="inlineStr">
        <is>
          <t>UE</t>
        </is>
      </c>
      <c r="B47" s="26" t="inlineStr">
        <is>
          <t>ECUE (contenu des enseignements)</t>
        </is>
      </c>
      <c r="C47" s="26" t="inlineStr">
        <is>
          <t>Crédits CECT/UE</t>
        </is>
      </c>
    </row>
    <row r="48">
      <c r="A48" s="4" t="inlineStr">
        <is>
          <t>Connaissances historiques, sociologiques et institutionnelles du handicap</t>
        </is>
      </c>
      <c r="B48" s="4" t="inlineStr">
        <is>
          <t>ECUE 1 : Histoire et sociologie du handicap ; ECUE 2 : Santé publique et populations spécifiques (handicapés, personnes âgées)</t>
        </is>
      </c>
      <c r="C48" s="16" t="n">
        <v>4</v>
      </c>
    </row>
    <row r="49">
      <c r="A49" s="4" t="inlineStr">
        <is>
          <t>Biologie des populations spéciales</t>
        </is>
      </c>
      <c r="B49" s="4" t="inlineStr">
        <is>
          <t>ECUE 1 : Biologie des populations spéciales ; ECUE 2 : Biologie du vieillissement</t>
        </is>
      </c>
      <c r="C49" s="16" t="n">
        <v>4</v>
      </c>
    </row>
    <row r="50">
      <c r="A50" s="4" t="inlineStr">
        <is>
          <t>Rééducation fonctionnelle</t>
        </is>
      </c>
      <c r="B50" s="4" t="inlineStr">
        <is>
          <t>Pratique de la rééducation par les APA pour populations spécifiques 1</t>
        </is>
      </c>
      <c r="C50" s="16" t="n">
        <v>2</v>
      </c>
    </row>
    <row r="51">
      <c r="A51" s="4" t="inlineStr">
        <is>
          <t>Intervention en milieu spécial</t>
        </is>
      </c>
      <c r="B51" s="4" t="inlineStr">
        <is>
          <t>ECUE 1 : Pratique des activités physiques par les déficients visuels et auditifs ; ECUE 2 : Pratique du fitness</t>
        </is>
      </c>
      <c r="C51" s="16" t="n">
        <v>5</v>
      </c>
    </row>
    <row r="52">
      <c r="A52" s="4" t="inlineStr">
        <is>
          <t>Prise en charge du handicap</t>
        </is>
      </c>
      <c r="B52" s="4" t="inlineStr">
        <is>
          <t>ECUE 1 : Pratique des activités physiques par les déficients visuels et auditifs ; ECUE 2 : Pratique du fitness</t>
        </is>
      </c>
      <c r="C52" s="16" t="n">
        <v>4</v>
      </c>
    </row>
    <row r="53">
      <c r="A53" s="4" t="inlineStr">
        <is>
          <t>Spécialisation théorique et pratique dans une APS</t>
        </is>
      </c>
      <c r="B53" s="4" t="inlineStr">
        <is>
          <t>APS de spécialité</t>
        </is>
      </c>
      <c r="C53" s="16" t="n">
        <v>2</v>
      </c>
    </row>
    <row r="54">
      <c r="A54" s="4" t="inlineStr">
        <is>
          <t>Pré-professionnalisation</t>
        </is>
      </c>
      <c r="B54" s="4" t="inlineStr">
        <is>
          <t>Stage dans un établissement d'accueil spécialisé dans le traitement des handicaps</t>
        </is>
      </c>
      <c r="C54" s="16" t="n">
        <v>3</v>
      </c>
    </row>
    <row r="55">
      <c r="A55" s="4" t="inlineStr">
        <is>
          <t>Méthodologie de la recherche</t>
        </is>
      </c>
      <c r="B55" s="4" t="inlineStr">
        <is>
          <t>Introduction à la méthodologie de la recherche scientifique</t>
        </is>
      </c>
      <c r="C55" s="16" t="n">
        <v>3</v>
      </c>
    </row>
    <row r="56">
      <c r="A56" s="4" t="inlineStr">
        <is>
          <t>Technologie de l'information et de la communication</t>
        </is>
      </c>
      <c r="B56" s="4" t="inlineStr">
        <is>
          <t>Initiation à l'informatique (bureautique)</t>
        </is>
      </c>
      <c r="C56" s="16" t="n">
        <v>1</v>
      </c>
    </row>
    <row r="57">
      <c r="A57" s="4" t="inlineStr">
        <is>
          <t>Technique d'expression écrite et orale</t>
        </is>
      </c>
      <c r="B57" s="4" t="inlineStr">
        <is>
          <t>Anglais professionnel spécifique aux APAS</t>
        </is>
      </c>
      <c r="C57" s="16" t="n">
        <v>2</v>
      </c>
    </row>
    <row r="58">
      <c r="B58" s="20" t="inlineStr">
        <is>
          <t>TOTAL Semestre 4</t>
        </is>
      </c>
      <c r="C58" s="27" t="n">
        <v>30</v>
      </c>
    </row>
    <row r="60">
      <c r="A60" s="25" t="inlineStr">
        <is>
          <t>Semestre 5</t>
        </is>
      </c>
    </row>
    <row r="61">
      <c r="A61" s="26" t="inlineStr">
        <is>
          <t>UE</t>
        </is>
      </c>
      <c r="B61" s="26" t="inlineStr">
        <is>
          <t>ECUE (contenu des enseignements)</t>
        </is>
      </c>
      <c r="C61" s="26" t="inlineStr">
        <is>
          <t>Crédits CECT/UE</t>
        </is>
      </c>
    </row>
    <row r="62">
      <c r="A62" s="4" t="inlineStr">
        <is>
          <t>Sciences de la vie et de la santé et handicap</t>
        </is>
      </c>
      <c r="B62" s="4" t="inlineStr">
        <is>
          <t>ECUE 1 : Étiologie et physiopathologie des déficiences ; ECUE 2 : Analyse neuromusculaire de la posture et du mouvement</t>
        </is>
      </c>
      <c r="C62" s="16" t="n">
        <v>4</v>
      </c>
    </row>
    <row r="63">
      <c r="A63" s="4" t="inlineStr">
        <is>
          <t>Protocole de prise en charge par l'APA et déontologie</t>
        </is>
      </c>
      <c r="B63" s="4" t="inlineStr">
        <is>
          <t>ECUE 1 : APA : bilan et conduite pratique en rééducation ; ECUE 2 : Morale, éthique du care et bientraitance</t>
        </is>
      </c>
      <c r="C63" s="16" t="n">
        <v>4</v>
      </c>
    </row>
    <row r="64">
      <c r="A64" s="4" t="inlineStr">
        <is>
          <t>Diagnostic des incapacités et prise en charge des populations spéciales</t>
        </is>
      </c>
      <c r="B64" s="4" t="inlineStr">
        <is>
          <t>ECUE 1 : Rééducation par les APA pour populations spécifiques 2 ; ECUE 2 : Mesure et évaluation de la condition physique</t>
        </is>
      </c>
      <c r="C64" s="16" t="n">
        <v>6</v>
      </c>
    </row>
    <row r="65">
      <c r="A65" s="4" t="inlineStr">
        <is>
          <t>Prévention de la santé et traitement des pathologies par les APA</t>
        </is>
      </c>
      <c r="B65" s="4" t="inlineStr">
        <is>
          <t>ECUE 1 : Conditionnement physique et prévention des pathologies 1 ; ECUE 2 : Programmes d'APA les plus efficients dans le traitement de diverses pathologies</t>
        </is>
      </c>
      <c r="C65" s="16" t="n">
        <v>6</v>
      </c>
    </row>
    <row r="66">
      <c r="A66" s="4" t="inlineStr">
        <is>
          <t>Brevet National de Secourisme</t>
        </is>
      </c>
      <c r="B66" s="4" t="inlineStr">
        <is>
          <t>Préparation au BNS</t>
        </is>
      </c>
      <c r="C66" s="16" t="n">
        <v>2</v>
      </c>
    </row>
    <row r="67">
      <c r="A67" s="4" t="inlineStr">
        <is>
          <t>Spécialisation théorique et pratique dans une APS</t>
        </is>
      </c>
      <c r="B67" s="4" t="inlineStr">
        <is>
          <t>APS de spécialité</t>
        </is>
      </c>
      <c r="C67" s="16" t="n">
        <v>3</v>
      </c>
    </row>
    <row r="68">
      <c r="A68" s="4" t="inlineStr">
        <is>
          <t>Méthodologie et outils</t>
        </is>
      </c>
      <c r="B68" s="4" t="inlineStr">
        <is>
          <t>Méthodologie de la recherche scientifique : élaboration de projet de recherche</t>
        </is>
      </c>
      <c r="C68" s="16" t="n">
        <v>2</v>
      </c>
    </row>
    <row r="69">
      <c r="A69" s="4" t="inlineStr">
        <is>
          <t>Technique d'expression écrite et orale</t>
        </is>
      </c>
      <c r="B69" s="4" t="inlineStr">
        <is>
          <t>Anglais spécifique aux APAS</t>
        </is>
      </c>
      <c r="C69" s="16" t="n">
        <v>2</v>
      </c>
    </row>
    <row r="70">
      <c r="A70" s="4" t="inlineStr">
        <is>
          <t>Life Skills</t>
        </is>
      </c>
      <c r="B70" s="4" t="inlineStr">
        <is>
          <t>Culture civique</t>
        </is>
      </c>
      <c r="C70" s="16" t="n">
        <v>1</v>
      </c>
    </row>
    <row r="71">
      <c r="B71" s="20" t="inlineStr">
        <is>
          <t>TOTAL Semestre 5</t>
        </is>
      </c>
      <c r="C71" s="27" t="n">
        <v>30</v>
      </c>
    </row>
    <row r="73">
      <c r="A73" s="25" t="inlineStr">
        <is>
          <t>Semestre 6</t>
        </is>
      </c>
    </row>
    <row r="74">
      <c r="A74" s="26" t="inlineStr">
        <is>
          <t>UE</t>
        </is>
      </c>
      <c r="B74" s="26" t="inlineStr">
        <is>
          <t>ECUE (contenu des enseignements)</t>
        </is>
      </c>
      <c r="C74" s="26" t="inlineStr">
        <is>
          <t>Crédits CECT/UE</t>
        </is>
      </c>
    </row>
    <row r="75">
      <c r="A75" s="4" t="inlineStr">
        <is>
          <t>Entrepreneuriat</t>
        </is>
      </c>
      <c r="B75" s="4" t="inlineStr">
        <is>
          <t>Développement communautaire en APA</t>
        </is>
      </c>
      <c r="C75" s="16" t="n">
        <v>2</v>
      </c>
    </row>
    <row r="76">
      <c r="A76" s="4" t="inlineStr">
        <is>
          <t>Relaxation et massage des populations spéciales</t>
        </is>
      </c>
      <c r="B76" s="4" t="inlineStr">
        <is>
          <t>Techniques de massages et de relaxation des populations spéciales</t>
        </is>
      </c>
      <c r="C76" s="16" t="n">
        <v>2</v>
      </c>
    </row>
    <row r="77">
      <c r="A77" s="4" t="inlineStr">
        <is>
          <t>Sciences de l'intervention en APAS</t>
        </is>
      </c>
      <c r="B77" s="4" t="inlineStr">
        <is>
          <t>Conception et planification des APA</t>
        </is>
      </c>
      <c r="C77" s="16" t="n">
        <v>3</v>
      </c>
    </row>
    <row r="78">
      <c r="A78" s="4" t="inlineStr">
        <is>
          <t>Prise en charge des populations spéciales 3</t>
        </is>
      </c>
      <c r="B78" s="4" t="inlineStr">
        <is>
          <t>Rééducation par les APA pour populations spécifiques 3</t>
        </is>
      </c>
      <c r="C78" s="16" t="n">
        <v>2</v>
      </c>
    </row>
    <row r="79">
      <c r="A79" s="4" t="inlineStr">
        <is>
          <t>Sciences et métiers de la prévention par les APS</t>
        </is>
      </c>
      <c r="B79" s="4" t="inlineStr">
        <is>
          <t>Programme d'Intégration, d'Équilibre Dynamique 1 (PIED)</t>
        </is>
      </c>
      <c r="C79" s="16" t="n">
        <v>3</v>
      </c>
    </row>
    <row r="80">
      <c r="A80" s="4" t="inlineStr">
        <is>
          <t>Prévention de la santé par le fitness</t>
        </is>
      </c>
      <c r="B80" s="4" t="inlineStr">
        <is>
          <t>Pratique du fitness et prévention des pathologies</t>
        </is>
      </c>
      <c r="C80" s="16" t="n">
        <v>3</v>
      </c>
    </row>
    <row r="81">
      <c r="A81" s="4" t="inlineStr">
        <is>
          <t>Spécialisation théorique et pratique dans une APS</t>
        </is>
      </c>
      <c r="B81" s="4" t="inlineStr">
        <is>
          <t>APS de spécialité</t>
        </is>
      </c>
      <c r="C81" s="16" t="n">
        <v>3</v>
      </c>
    </row>
    <row r="82">
      <c r="A82" s="4" t="inlineStr">
        <is>
          <t>Traumatologie du sport</t>
        </is>
      </c>
      <c r="B82" s="4" t="inlineStr">
        <is>
          <t>Pathologies liées à la pratique du sport et leurs traitements</t>
        </is>
      </c>
      <c r="C82" s="16" t="n">
        <v>2</v>
      </c>
    </row>
    <row r="83">
      <c r="A83" s="4" t="inlineStr">
        <is>
          <t>Pré-professionnalisation</t>
        </is>
      </c>
      <c r="B83" s="4" t="inlineStr">
        <is>
          <t>Stage dans une structure spécialisée dans la prise en charge des populations spéciales</t>
        </is>
      </c>
      <c r="C83" s="16" t="n">
        <v>4</v>
      </c>
    </row>
    <row r="84">
      <c r="A84" s="4" t="inlineStr">
        <is>
          <t>Formation à la recherche scientifique</t>
        </is>
      </c>
      <c r="B84" s="4" t="inlineStr">
        <is>
          <t>Séminaire de recherche : élaboration de projet de mémoire</t>
        </is>
      </c>
      <c r="C84" s="16" t="n">
        <v>3</v>
      </c>
    </row>
    <row r="85">
      <c r="A85" s="4" t="inlineStr">
        <is>
          <t>Technique d'expression écrite et orale</t>
        </is>
      </c>
      <c r="B85" s="4" t="inlineStr">
        <is>
          <t>Anglais spécifique aux APA</t>
        </is>
      </c>
      <c r="C85" s="16" t="n">
        <v>2</v>
      </c>
    </row>
    <row r="86">
      <c r="A86" s="4" t="inlineStr">
        <is>
          <t>Technologie de l'information et de la communication</t>
        </is>
      </c>
      <c r="B86" s="4" t="inlineStr">
        <is>
          <t>Conception et présentation des travaux avec PowerPoint</t>
        </is>
      </c>
      <c r="C86" s="16" t="n">
        <v>1</v>
      </c>
    </row>
    <row r="87">
      <c r="B87" s="20" t="inlineStr">
        <is>
          <t>TOTAL Semestre 6</t>
        </is>
      </c>
      <c r="C87" s="27" t="n">
        <v>30</v>
      </c>
    </row>
    <row r="89">
      <c r="A89" s="28" t="inlineStr">
        <is>
          <t>TOTAL LICENCE : 180 crédits</t>
        </is>
      </c>
    </row>
    <row r="91">
      <c r="A91" s="23" t="inlineStr">
        <is>
          <t>🎓 PARCOURS MASTER</t>
        </is>
      </c>
      <c r="B91" s="24" t="n"/>
      <c r="C91" s="24" t="n"/>
      <c r="D91" s="24" t="n"/>
    </row>
    <row r="92">
      <c r="A92" s="25" t="inlineStr">
        <is>
          <t>Semestre 1 (M1/S7)</t>
        </is>
      </c>
    </row>
    <row r="93">
      <c r="A93" s="26" t="inlineStr">
        <is>
          <t>UE</t>
        </is>
      </c>
      <c r="B93" s="26" t="inlineStr">
        <is>
          <t>ECUE (contenu des enseignements)</t>
        </is>
      </c>
      <c r="C93" s="26" t="inlineStr">
        <is>
          <t>Crédits CECT/UE</t>
        </is>
      </c>
    </row>
    <row r="94">
      <c r="A94" s="4" t="inlineStr">
        <is>
          <t>Sciences de la vie et de la santé et APA</t>
        </is>
      </c>
      <c r="B94" s="4" t="inlineStr">
        <is>
          <t>ECUE 1 : Physiologie cardiovasculaire et activité physique ; ECUE 2 : Physiopathologie des maladies chroniques cardio-respiratoires et musculo-squelettiques</t>
        </is>
      </c>
      <c r="C94" s="16" t="n">
        <v>6</v>
      </c>
    </row>
    <row r="95">
      <c r="A95" s="4" t="inlineStr">
        <is>
          <t>Approche pratique du vieillissement</t>
        </is>
      </c>
      <c r="B95" s="4" t="inlineStr">
        <is>
          <t>Techniques de remise en condition physique des seniors : conditionnement en salle</t>
        </is>
      </c>
      <c r="C95" s="16" t="n">
        <v>3</v>
      </c>
    </row>
    <row r="96">
      <c r="A96" s="4" t="inlineStr">
        <is>
          <t>Évaluation de la condition physique des populations spéciales</t>
        </is>
      </c>
      <c r="B96" s="4" t="inlineStr">
        <is>
          <t>Tests d'évaluation de la condition physique des seniors</t>
        </is>
      </c>
      <c r="C96" s="16" t="n">
        <v>3</v>
      </c>
    </row>
    <row r="97">
      <c r="A97" s="4" t="inlineStr">
        <is>
          <t>Formation professionnelle</t>
        </is>
      </c>
      <c r="B97" s="4" t="inlineStr">
        <is>
          <t>Pratique du fitness par les populations spéciales</t>
        </is>
      </c>
      <c r="C97" s="16" t="n">
        <v>3</v>
      </c>
    </row>
    <row r="98">
      <c r="A98" s="4" t="inlineStr">
        <is>
          <t>Intervention en APA</t>
        </is>
      </c>
      <c r="B98" s="4" t="inlineStr">
        <is>
          <t>Variables de l'interaction dans la conduite des séances en APA</t>
        </is>
      </c>
      <c r="C98" s="16" t="n">
        <v>2</v>
      </c>
    </row>
    <row r="99">
      <c r="A99" s="4" t="inlineStr">
        <is>
          <t>Spécialisation théorique et pratique dans une APS</t>
        </is>
      </c>
      <c r="B99" s="4" t="inlineStr">
        <is>
          <t>APS de spécialité</t>
        </is>
      </c>
      <c r="C99" s="16" t="n">
        <v>3</v>
      </c>
    </row>
    <row r="100">
      <c r="A100" s="4" t="inlineStr">
        <is>
          <t>Méthodologie de la recherche</t>
        </is>
      </c>
      <c r="B100" s="4" t="inlineStr">
        <is>
          <t>Élaboration des instruments de collecte de données</t>
        </is>
      </c>
      <c r="C100" s="16" t="n">
        <v>4</v>
      </c>
    </row>
    <row r="101">
      <c r="A101" s="4" t="inlineStr">
        <is>
          <t>Formation à la recherche</t>
        </is>
      </c>
      <c r="B101" s="4" t="inlineStr">
        <is>
          <t>Séminaire de recherche</t>
        </is>
      </c>
      <c r="C101" s="16" t="n">
        <v>4</v>
      </c>
    </row>
    <row r="102">
      <c r="A102" s="4" t="inlineStr">
        <is>
          <t>Technique d'expression écrite et orale</t>
        </is>
      </c>
      <c r="B102" s="4" t="inlineStr">
        <is>
          <t>Anglais professionnel</t>
        </is>
      </c>
      <c r="C102" s="16" t="n">
        <v>2</v>
      </c>
    </row>
    <row r="103">
      <c r="B103" s="20" t="inlineStr">
        <is>
          <t>TOTAL Semestre 1 (M1/S7)</t>
        </is>
      </c>
      <c r="C103" s="27" t="n">
        <v>30</v>
      </c>
    </row>
    <row r="105">
      <c r="A105" s="25" t="inlineStr">
        <is>
          <t>Semestre 2 (M1/S8)</t>
        </is>
      </c>
    </row>
    <row r="106">
      <c r="A106" s="26" t="inlineStr">
        <is>
          <t>UE</t>
        </is>
      </c>
      <c r="B106" s="26" t="inlineStr">
        <is>
          <t>ECUE (contenu des enseignements)</t>
        </is>
      </c>
      <c r="C106" s="26" t="inlineStr">
        <is>
          <t>Crédits CECT/UE</t>
        </is>
      </c>
    </row>
    <row r="107">
      <c r="A107" s="4" t="inlineStr">
        <is>
          <t>Biomécanique et conditionnement musculaire</t>
        </is>
      </c>
      <c r="B107" s="4" t="inlineStr">
        <is>
          <t>ECUE 1 : Biomécanique appliquée au vieillissement et au handicap ; ECUE 2 : Vieillissement des systèmes cardiorespiratoire, nerveux et musculo-squelettique</t>
        </is>
      </c>
      <c r="C107" s="16" t="n">
        <v>4</v>
      </c>
    </row>
    <row r="108">
      <c r="A108" s="4" t="inlineStr">
        <is>
          <t>Nutrition et APA</t>
        </is>
      </c>
      <c r="B108" s="4" t="inlineStr">
        <is>
          <t>Alimentation et santé cardiovasculaire</t>
        </is>
      </c>
      <c r="C108" s="16" t="n">
        <v>2</v>
      </c>
    </row>
    <row r="109">
      <c r="A109" s="4" t="inlineStr">
        <is>
          <t>Approche pratique du vieillissement</t>
        </is>
      </c>
      <c r="B109" s="4" t="inlineStr">
        <is>
          <t>ECUE 1 : APA aux seniors : Programme PIED 2 ; ECUE 2 : Évaluation de la condition physique des populations spéciales</t>
        </is>
      </c>
      <c r="C109" s="16" t="n">
        <v>5</v>
      </c>
    </row>
    <row r="110">
      <c r="A110" s="4" t="inlineStr">
        <is>
          <t>Spécialisation théorique et pratique dans une APS</t>
        </is>
      </c>
      <c r="B110" s="4" t="inlineStr">
        <is>
          <t>APS de spécialité</t>
        </is>
      </c>
      <c r="C110" s="16" t="n">
        <v>3</v>
      </c>
    </row>
    <row r="111">
      <c r="A111" s="4" t="inlineStr">
        <is>
          <t>Professionnalisation</t>
        </is>
      </c>
      <c r="B111" s="4" t="inlineStr">
        <is>
          <t>Stage professionnel dans une structure spécialisée : élaboration d'un projet</t>
        </is>
      </c>
      <c r="C111" s="16" t="n">
        <v>5</v>
      </c>
    </row>
    <row r="112">
      <c r="A112" s="4" t="inlineStr">
        <is>
          <t>Méthodologie de la recherche</t>
        </is>
      </c>
      <c r="B112" s="4" t="inlineStr">
        <is>
          <t>MRS 2 : conception des instruments de cueillette de données</t>
        </is>
      </c>
      <c r="C112" s="16" t="n">
        <v>3</v>
      </c>
    </row>
    <row r="113">
      <c r="A113" s="4" t="inlineStr">
        <is>
          <t>Formation à la recherche</t>
        </is>
      </c>
      <c r="B113" s="4" t="inlineStr">
        <is>
          <t>Séminaire de recherche</t>
        </is>
      </c>
      <c r="C113" s="16" t="n">
        <v>2</v>
      </c>
    </row>
    <row r="114">
      <c r="A114" s="4" t="inlineStr">
        <is>
          <t>Technique d'expression écrite et orale</t>
        </is>
      </c>
      <c r="B114" s="4" t="inlineStr">
        <is>
          <t>Anglais professionnel</t>
        </is>
      </c>
      <c r="C114" s="16" t="n">
        <v>2</v>
      </c>
    </row>
    <row r="115">
      <c r="A115" s="4" t="inlineStr">
        <is>
          <t>Formation administrative</t>
        </is>
      </c>
      <c r="B115" s="4" t="inlineStr">
        <is>
          <t>ECUE 1 : Droits et devoirs du fonctionnaire ; ECUE 2 : Rédaction administrative</t>
        </is>
      </c>
      <c r="C115" s="16" t="n">
        <v>4</v>
      </c>
    </row>
    <row r="116">
      <c r="B116" s="20" t="inlineStr">
        <is>
          <t>TOTAL Semestre 2 (M1/S8)</t>
        </is>
      </c>
      <c r="C116" s="27" t="n">
        <v>30</v>
      </c>
    </row>
    <row r="118">
      <c r="A118" s="25" t="inlineStr">
        <is>
          <t>Semestre 3 (M2/S9)</t>
        </is>
      </c>
    </row>
    <row r="119">
      <c r="A119" s="26" t="inlineStr">
        <is>
          <t>UE</t>
        </is>
      </c>
      <c r="B119" s="26" t="inlineStr">
        <is>
          <t>ECUE (contenu des enseignements)</t>
        </is>
      </c>
      <c r="C119" s="26" t="inlineStr">
        <is>
          <t>Crédits CECT/UE</t>
        </is>
      </c>
    </row>
    <row r="120">
      <c r="A120" s="4" t="inlineStr">
        <is>
          <t>Professionnalisation</t>
        </is>
      </c>
      <c r="B120" s="4" t="inlineStr">
        <is>
          <t>Stage milieu professionnel</t>
        </is>
      </c>
      <c r="C120" s="16" t="n">
        <v>15</v>
      </c>
    </row>
    <row r="121">
      <c r="A121" s="4" t="inlineStr">
        <is>
          <t>Formation à la recherche</t>
        </is>
      </c>
      <c r="B121" s="4" t="inlineStr">
        <is>
          <t>Séminaire de recherche 3</t>
        </is>
      </c>
      <c r="C121" s="16" t="n">
        <v>7</v>
      </c>
    </row>
    <row r="122">
      <c r="A122" s="4" t="inlineStr">
        <is>
          <t>Méthodologie de la recherche</t>
        </is>
      </c>
      <c r="B122" s="4" t="inlineStr">
        <is>
          <t>ECUE 1 : Méthodologie de la recherche scientifique 3 : analyse des données et discussion ; ECUE 2 : Statistiques descriptives et inférentielles 2</t>
        </is>
      </c>
      <c r="C122" s="16" t="n">
        <v>8</v>
      </c>
    </row>
    <row r="123">
      <c r="B123" s="20" t="inlineStr">
        <is>
          <t>TOTAL Semestre 3 (M2/S9)</t>
        </is>
      </c>
      <c r="C123" s="27" t="n">
        <v>30</v>
      </c>
    </row>
    <row r="125">
      <c r="A125" s="25" t="inlineStr">
        <is>
          <t>Semestre 4 (M2/S10)</t>
        </is>
      </c>
    </row>
    <row r="126">
      <c r="A126" s="26" t="inlineStr">
        <is>
          <t>UE</t>
        </is>
      </c>
      <c r="B126" s="26" t="inlineStr">
        <is>
          <t>ECUE (contenu des enseignements)</t>
        </is>
      </c>
      <c r="C126" s="26" t="inlineStr">
        <is>
          <t>Crédits CECT/UE</t>
        </is>
      </c>
    </row>
    <row r="127">
      <c r="A127" s="4" t="inlineStr">
        <is>
          <t>Formation à la recherche</t>
        </is>
      </c>
      <c r="B127" s="4" t="inlineStr">
        <is>
          <t>Travaux de recherche : mémoire</t>
        </is>
      </c>
      <c r="C127" s="16" t="n">
        <v>15</v>
      </c>
    </row>
    <row r="128">
      <c r="A128" s="4" t="inlineStr">
        <is>
          <t>Formation professionnelle</t>
        </is>
      </c>
      <c r="B128" s="4" t="inlineStr">
        <is>
          <t>Stage milieu professionnel</t>
        </is>
      </c>
      <c r="C128" s="16" t="n">
        <v>15</v>
      </c>
    </row>
    <row r="129">
      <c r="B129" s="20" t="inlineStr">
        <is>
          <t>TOTAL Semestre 4 (M2/S10)</t>
        </is>
      </c>
      <c r="C129" s="27" t="n">
        <v>30</v>
      </c>
    </row>
    <row r="131">
      <c r="A131" s="28" t="inlineStr">
        <is>
          <t>TOTAL MASTER : 120 crédits</t>
        </is>
      </c>
    </row>
  </sheetData>
  <mergeCells count="12">
    <mergeCell ref="A5:D5"/>
    <mergeCell ref="A118:D118"/>
    <mergeCell ref="A18:D18"/>
    <mergeCell ref="A31:D31"/>
    <mergeCell ref="A91:D91"/>
    <mergeCell ref="A60:D60"/>
    <mergeCell ref="A105:D105"/>
    <mergeCell ref="A4:D4"/>
    <mergeCell ref="A92:D92"/>
    <mergeCell ref="A73:D73"/>
    <mergeCell ref="A125:D125"/>
    <mergeCell ref="A46:D4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3" t="inlineStr">
        <is>
          <t>STRUCTURE DE L'INSTITUT</t>
        </is>
      </c>
    </row>
    <row r="3">
      <c r="A3" s="15" t="inlineStr">
        <is>
          <t>Sigle</t>
        </is>
      </c>
      <c r="B3" s="15" t="inlineStr">
        <is>
          <t>Intitulé / mission</t>
        </is>
      </c>
    </row>
    <row r="4">
      <c r="A4" s="4" t="inlineStr">
        <is>
          <t>ENSEPS</t>
        </is>
      </c>
      <c r="B4" s="4" t="inlineStr">
        <is>
          <t>École Normale Supérieure de l'Éducation Physique et des Sports — filières STAPS (DER/STAPS)</t>
        </is>
      </c>
    </row>
    <row r="5">
      <c r="A5" s="18" t="inlineStr">
        <is>
          <t>ENSEP</t>
        </is>
      </c>
      <c r="B5" s="18" t="inlineStr">
        <is>
          <t>École Normale Supérieure de l'Éducation Permanente — filières STASE (DER/STASE)</t>
        </is>
      </c>
    </row>
    <row r="6">
      <c r="A6" s="4" t="inlineStr">
        <is>
          <t>CNSHN</t>
        </is>
      </c>
      <c r="B6" s="4" t="inlineStr">
        <is>
          <t>Centre National du Sport de Haut Niveau — détection et perfectionnement des athlètes</t>
        </is>
      </c>
    </row>
    <row r="7">
      <c r="A7" s="18" t="inlineStr">
        <is>
          <t>CNMS</t>
        </is>
      </c>
      <c r="B7" s="18" t="inlineStr">
        <is>
          <t>Centre National de la Médecine du Sport — visites médicales, suivi médico-sportif</t>
        </is>
      </c>
    </row>
    <row r="8">
      <c r="A8" s="4" t="inlineStr">
        <is>
          <t>DAAF</t>
        </is>
      </c>
      <c r="B8" s="4" t="inlineStr">
        <is>
          <t>Direction des Affaires Administratives et Financières</t>
        </is>
      </c>
    </row>
    <row r="9">
      <c r="A9" s="18" t="inlineStr">
        <is>
          <t>DFCR</t>
        </is>
      </c>
      <c r="B9" s="18" t="inlineStr">
        <is>
          <t>Direction de la Formation Continue et de la Recherche — référentiels métiers</t>
        </is>
      </c>
    </row>
    <row r="10">
      <c r="A10" s="4" t="inlineStr">
        <is>
          <t>DIEM</t>
        </is>
      </c>
      <c r="B10" s="4" t="inlineStr">
        <is>
          <t>Direction des Infrastructures, de l'Équipement et de la Maintenance</t>
        </is>
      </c>
    </row>
    <row r="11">
      <c r="A11" s="18" t="inlineStr">
        <is>
          <t>DCP</t>
        </is>
      </c>
      <c r="B11" s="18" t="inlineStr">
        <is>
          <t>Direction de la Coopération et du Partenariat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3" t="inlineStr">
        <is>
          <t>5. GROUPES — 6. CATÉGORIES — 12. PLAGES HORAIRES</t>
        </is>
      </c>
    </row>
    <row r="3">
      <c r="A3" s="15" t="inlineStr">
        <is>
          <t>Rubrique</t>
        </is>
      </c>
      <c r="B3" s="15" t="inlineStr">
        <is>
          <t>Contenu</t>
        </is>
      </c>
    </row>
    <row r="4" ht="58" customHeight="1">
      <c r="A4" s="4" t="inlineStr">
        <is>
          <t>Groupes</t>
        </is>
      </c>
      <c r="B4" s="4" t="inlineStr">
        <is>
          <t>Donnée interne non publiée, redéfinie à chaque rentrée. Organisation publique : groupes de cours/théorie (amphithéâtre) et groupes de pratique sportive ; groupe de spécialisation APS choisi dès le Semestre 2 ; filière PC-PS organisée par groupes-discipline (Basketball, Football, Handball, Volleyball, Athlétisme, Judo, Natation, Taekwondo, Rugby). Repères : 2 462 diplômés à la graduation 2026. Listes nominatives : scolarité DENSEPS/DENSEP.</t>
        </is>
      </c>
    </row>
    <row r="5" ht="58" customHeight="1">
      <c r="A5" s="18" t="inlineStr">
        <is>
          <t>Catégories de cursus</t>
        </is>
      </c>
      <c r="B5" s="18" t="inlineStr">
        <is>
          <t>1) Cursus universitaire (bacheliers, 5 ans) ; 2) Cycle professionnel (actifs, 2 ans) ; 3) Formation à la carte (communauté, courte durée).</t>
        </is>
      </c>
    </row>
    <row r="6" ht="58" customHeight="1">
      <c r="A6" s="4" t="inlineStr">
        <is>
          <t>Catégories de concours 2025</t>
        </is>
      </c>
      <c r="B6" s="4" t="inlineStr">
        <is>
          <t>PC-EPS, PC-PS, PC-EP, PC-EP-ENT (18-30 ans, BAC 2021-2025).</t>
        </is>
      </c>
    </row>
    <row r="7" ht="58" customHeight="1">
      <c r="A7" s="18" t="inlineStr">
        <is>
          <t>Catégories de formations à la carte</t>
        </is>
      </c>
      <c r="B7" s="18" t="inlineStr">
        <is>
          <t>Sport ; Management ; Gestion ; Sécurité ; Artisanat ; Arts ; Business ; Agriculture ; Cuisine.</t>
        </is>
      </c>
    </row>
    <row r="8" ht="58" customHeight="1">
      <c r="A8" s="4" t="inlineStr">
        <is>
          <t>Catégories d'APS enseignées</t>
        </is>
      </c>
      <c r="B8" s="4" t="inlineStr">
        <is>
          <t>Sports collectifs de grand terrain (football, rugby) ; de petit terrain (handball, basketball) ; de renvoi (volleyball) ; sports athlétiques ; sports de combat de préhension (judo, lutte) et de percussion (boxe, taekwondo) ; sports d'expression corporelle (gymnastique) ; sports d'entretien et APA (fitness, natation).</t>
        </is>
      </c>
    </row>
    <row r="9" ht="58" customHeight="1">
      <c r="A9" s="18" t="inlineStr">
        <is>
          <t>Catégorie administrative</t>
        </is>
      </c>
      <c r="B9" s="18" t="inlineStr">
        <is>
          <t>Professeurs et inspecteurs formés : catégorie A de la fonction publique ivoirienne.</t>
        </is>
      </c>
    </row>
    <row r="10" ht="58" customHeight="1">
      <c r="A10" s="4" t="inlineStr">
        <is>
          <t>Plages horaires</t>
        </is>
      </c>
      <c r="B10" s="4" t="inlineStr">
        <is>
          <t>Documents internes non publiés (variables chaque semestre). Cadre général : lundi-samedi ; matin ≈ 8h00-12h00 (cours magistraux) ; après-midi ≈ 14h00-18h00 (TD et pratique sportive sur plateaux : stades, gymnase, piscine, dojo) ; stages en structures partenaires. Précisions : scolarité de chaque école.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2" customWidth="1" min="3" max="3"/>
    <col width="9" customWidth="1" min="4" max="4"/>
    <col width="10" customWidth="1" min="5" max="5"/>
    <col width="9" customWidth="1" min="6" max="6"/>
    <col width="9" customWidth="1" min="7" max="7"/>
  </cols>
  <sheetData>
    <row r="1">
      <c r="A1" s="13" t="inlineStr">
        <is>
          <t>STATISTIQUES DES MAQUETTES OFFICIELLES</t>
        </is>
      </c>
    </row>
    <row r="2">
      <c r="A2" s="29" t="inlineStr">
        <is>
          <t>Calculées à partir des 4 maquettes publiées (EM, MS, ES, APA). La répartition par famille de modules utilise une classification indicative.</t>
        </is>
      </c>
    </row>
    <row r="4">
      <c r="A4" s="14" t="inlineStr">
        <is>
          <t>A. Détail par filière et par semestre</t>
        </is>
      </c>
    </row>
    <row r="5">
      <c r="A5" s="15" t="inlineStr">
        <is>
          <t>Filière</t>
        </is>
      </c>
      <c r="B5" s="15" t="inlineStr">
        <is>
          <t>Palier</t>
        </is>
      </c>
      <c r="C5" s="15" t="inlineStr">
        <is>
          <t>Semestre</t>
        </is>
      </c>
      <c r="D5" s="15" t="inlineStr">
        <is>
          <t>Nb UE</t>
        </is>
      </c>
      <c r="E5" s="15" t="inlineStr">
        <is>
          <t>Nb ECUE</t>
        </is>
      </c>
      <c r="F5" s="15" t="inlineStr">
        <is>
          <t>Crédits</t>
        </is>
      </c>
    </row>
    <row r="6">
      <c r="A6" s="4" t="inlineStr">
        <is>
          <t>EM</t>
        </is>
      </c>
      <c r="B6" s="4" t="inlineStr">
        <is>
          <t>Éducation et Motricité (EM)</t>
        </is>
      </c>
      <c r="C6" s="4" t="inlineStr">
        <is>
          <t>Licence</t>
        </is>
      </c>
      <c r="D6" s="4" t="inlineStr">
        <is>
          <t>Semestre 1</t>
        </is>
      </c>
      <c r="E6" s="16" t="n">
        <v>9</v>
      </c>
      <c r="F6" s="16" t="n">
        <v>12</v>
      </c>
      <c r="G6" s="16" t="n">
        <v>30</v>
      </c>
    </row>
    <row r="7">
      <c r="A7" s="18" t="inlineStr">
        <is>
          <t>EM</t>
        </is>
      </c>
      <c r="B7" s="18" t="inlineStr">
        <is>
          <t>Éducation et Motricité (EM)</t>
        </is>
      </c>
      <c r="C7" s="18" t="inlineStr">
        <is>
          <t>Licence</t>
        </is>
      </c>
      <c r="D7" s="18" t="inlineStr">
        <is>
          <t>Semestre 2</t>
        </is>
      </c>
      <c r="E7" s="17" t="n">
        <v>9</v>
      </c>
      <c r="F7" s="17" t="n">
        <v>12</v>
      </c>
      <c r="G7" s="17" t="n">
        <v>30</v>
      </c>
    </row>
    <row r="8">
      <c r="A8" s="4" t="inlineStr">
        <is>
          <t>EM</t>
        </is>
      </c>
      <c r="B8" s="4" t="inlineStr">
        <is>
          <t>Éducation et Motricité (EM)</t>
        </is>
      </c>
      <c r="C8" s="4" t="inlineStr">
        <is>
          <t>Licence</t>
        </is>
      </c>
      <c r="D8" s="4" t="inlineStr">
        <is>
          <t>Semestre 3</t>
        </is>
      </c>
      <c r="E8" s="16" t="n">
        <v>11</v>
      </c>
      <c r="F8" s="16" t="n">
        <v>13</v>
      </c>
      <c r="G8" s="16" t="n">
        <v>30</v>
      </c>
    </row>
    <row r="9">
      <c r="A9" s="18" t="inlineStr">
        <is>
          <t>EM</t>
        </is>
      </c>
      <c r="B9" s="18" t="inlineStr">
        <is>
          <t>Éducation et Motricité (EM)</t>
        </is>
      </c>
      <c r="C9" s="18" t="inlineStr">
        <is>
          <t>Licence</t>
        </is>
      </c>
      <c r="D9" s="18" t="inlineStr">
        <is>
          <t>Semestre 4</t>
        </is>
      </c>
      <c r="E9" s="17" t="n">
        <v>10</v>
      </c>
      <c r="F9" s="17" t="n">
        <v>12</v>
      </c>
      <c r="G9" s="17" t="n">
        <v>30</v>
      </c>
    </row>
    <row r="10">
      <c r="A10" s="4" t="inlineStr">
        <is>
          <t>EM</t>
        </is>
      </c>
      <c r="B10" s="4" t="inlineStr">
        <is>
          <t>Éducation et Motricité (EM)</t>
        </is>
      </c>
      <c r="C10" s="4" t="inlineStr">
        <is>
          <t>Licence</t>
        </is>
      </c>
      <c r="D10" s="4" t="inlineStr">
        <is>
          <t>Semestre 5</t>
        </is>
      </c>
      <c r="E10" s="16" t="n">
        <v>11</v>
      </c>
      <c r="F10" s="16" t="n">
        <v>12</v>
      </c>
      <c r="G10" s="16" t="n">
        <v>30</v>
      </c>
    </row>
    <row r="11">
      <c r="A11" s="18" t="inlineStr">
        <is>
          <t>EM</t>
        </is>
      </c>
      <c r="B11" s="18" t="inlineStr">
        <is>
          <t>Éducation et Motricité (EM)</t>
        </is>
      </c>
      <c r="C11" s="18" t="inlineStr">
        <is>
          <t>Licence</t>
        </is>
      </c>
      <c r="D11" s="18" t="inlineStr">
        <is>
          <t>Semestre 6</t>
        </is>
      </c>
      <c r="E11" s="17" t="n">
        <v>12</v>
      </c>
      <c r="F11" s="17" t="n">
        <v>12</v>
      </c>
      <c r="G11" s="17" t="n">
        <v>30</v>
      </c>
    </row>
    <row r="12">
      <c r="A12" s="4" t="inlineStr">
        <is>
          <t>EM</t>
        </is>
      </c>
      <c r="B12" s="4" t="inlineStr">
        <is>
          <t>Éducation et Motricité (EM)</t>
        </is>
      </c>
      <c r="C12" s="4" t="inlineStr">
        <is>
          <t>Master</t>
        </is>
      </c>
      <c r="D12" s="4" t="inlineStr">
        <is>
          <t>Semestre 1 (M1/S7)</t>
        </is>
      </c>
      <c r="E12" s="16" t="n">
        <v>9</v>
      </c>
      <c r="F12" s="16" t="n">
        <v>10</v>
      </c>
      <c r="G12" s="16" t="n">
        <v>30</v>
      </c>
    </row>
    <row r="13">
      <c r="A13" s="18" t="inlineStr">
        <is>
          <t>EM</t>
        </is>
      </c>
      <c r="B13" s="18" t="inlineStr">
        <is>
          <t>Éducation et Motricité (EM)</t>
        </is>
      </c>
      <c r="C13" s="18" t="inlineStr">
        <is>
          <t>Master</t>
        </is>
      </c>
      <c r="D13" s="18" t="inlineStr">
        <is>
          <t>Semestre 2 (M1/S8)</t>
        </is>
      </c>
      <c r="E13" s="17" t="n">
        <v>10</v>
      </c>
      <c r="F13" s="17" t="n">
        <v>11</v>
      </c>
      <c r="G13" s="17" t="n">
        <v>30</v>
      </c>
    </row>
    <row r="14">
      <c r="A14" s="4" t="inlineStr">
        <is>
          <t>EM</t>
        </is>
      </c>
      <c r="B14" s="4" t="inlineStr">
        <is>
          <t>Éducation et Motricité (EM)</t>
        </is>
      </c>
      <c r="C14" s="4" t="inlineStr">
        <is>
          <t>Master</t>
        </is>
      </c>
      <c r="D14" s="4" t="inlineStr">
        <is>
          <t>Semestre 3 (M2/S9)</t>
        </is>
      </c>
      <c r="E14" s="16" t="n">
        <v>3</v>
      </c>
      <c r="F14" s="16" t="n">
        <v>4</v>
      </c>
      <c r="G14" s="16" t="n">
        <v>30</v>
      </c>
    </row>
    <row r="15">
      <c r="A15" s="18" t="inlineStr">
        <is>
          <t>EM</t>
        </is>
      </c>
      <c r="B15" s="18" t="inlineStr">
        <is>
          <t>Éducation et Motricité (EM)</t>
        </is>
      </c>
      <c r="C15" s="18" t="inlineStr">
        <is>
          <t>Master</t>
        </is>
      </c>
      <c r="D15" s="18" t="inlineStr">
        <is>
          <t>Semestre 4 (M2/S10)</t>
        </is>
      </c>
      <c r="E15" s="17" t="n">
        <v>2</v>
      </c>
      <c r="F15" s="17" t="n">
        <v>2</v>
      </c>
      <c r="G15" s="17" t="n">
        <v>30</v>
      </c>
    </row>
    <row r="16">
      <c r="A16" s="4" t="inlineStr">
        <is>
          <t>MS</t>
        </is>
      </c>
      <c r="B16" s="4" t="inlineStr">
        <is>
          <t>Management du Sport (MS)</t>
        </is>
      </c>
      <c r="C16" s="4" t="inlineStr">
        <is>
          <t>Licence</t>
        </is>
      </c>
      <c r="D16" s="4" t="inlineStr">
        <is>
          <t>Semestre 1</t>
        </is>
      </c>
      <c r="E16" s="16" t="n">
        <v>9</v>
      </c>
      <c r="F16" s="16" t="n">
        <v>12</v>
      </c>
      <c r="G16" s="16" t="n">
        <v>30</v>
      </c>
    </row>
    <row r="17">
      <c r="A17" s="18" t="inlineStr">
        <is>
          <t>MS</t>
        </is>
      </c>
      <c r="B17" s="18" t="inlineStr">
        <is>
          <t>Management du Sport (MS)</t>
        </is>
      </c>
      <c r="C17" s="18" t="inlineStr">
        <is>
          <t>Licence</t>
        </is>
      </c>
      <c r="D17" s="18" t="inlineStr">
        <is>
          <t>Semestre 2</t>
        </is>
      </c>
      <c r="E17" s="17" t="n">
        <v>9</v>
      </c>
      <c r="F17" s="17" t="n">
        <v>12</v>
      </c>
      <c r="G17" s="17" t="n">
        <v>30</v>
      </c>
    </row>
    <row r="18">
      <c r="A18" s="4" t="inlineStr">
        <is>
          <t>MS</t>
        </is>
      </c>
      <c r="B18" s="4" t="inlineStr">
        <is>
          <t>Management du Sport (MS)</t>
        </is>
      </c>
      <c r="C18" s="4" t="inlineStr">
        <is>
          <t>Licence</t>
        </is>
      </c>
      <c r="D18" s="4" t="inlineStr">
        <is>
          <t>Semestre 3</t>
        </is>
      </c>
      <c r="E18" s="16" t="n">
        <v>11</v>
      </c>
      <c r="F18" s="16" t="n">
        <v>13</v>
      </c>
      <c r="G18" s="16" t="n">
        <v>30</v>
      </c>
    </row>
    <row r="19">
      <c r="A19" s="18" t="inlineStr">
        <is>
          <t>MS</t>
        </is>
      </c>
      <c r="B19" s="18" t="inlineStr">
        <is>
          <t>Management du Sport (MS)</t>
        </is>
      </c>
      <c r="C19" s="18" t="inlineStr">
        <is>
          <t>Licence</t>
        </is>
      </c>
      <c r="D19" s="18" t="inlineStr">
        <is>
          <t>Semestre 4</t>
        </is>
      </c>
      <c r="E19" s="17" t="n">
        <v>10</v>
      </c>
      <c r="F19" s="17" t="n">
        <v>13</v>
      </c>
      <c r="G19" s="17" t="n">
        <v>30</v>
      </c>
    </row>
    <row r="20">
      <c r="A20" s="4" t="inlineStr">
        <is>
          <t>MS</t>
        </is>
      </c>
      <c r="B20" s="4" t="inlineStr">
        <is>
          <t>Management du Sport (MS)</t>
        </is>
      </c>
      <c r="C20" s="4" t="inlineStr">
        <is>
          <t>Licence</t>
        </is>
      </c>
      <c r="D20" s="4" t="inlineStr">
        <is>
          <t>Semestre 5</t>
        </is>
      </c>
      <c r="E20" s="16" t="n">
        <v>11</v>
      </c>
      <c r="F20" s="16" t="n">
        <v>15</v>
      </c>
      <c r="G20" s="16" t="n">
        <v>30</v>
      </c>
    </row>
    <row r="21">
      <c r="A21" s="18" t="inlineStr">
        <is>
          <t>MS</t>
        </is>
      </c>
      <c r="B21" s="18" t="inlineStr">
        <is>
          <t>Management du Sport (MS)</t>
        </is>
      </c>
      <c r="C21" s="18" t="inlineStr">
        <is>
          <t>Licence</t>
        </is>
      </c>
      <c r="D21" s="18" t="inlineStr">
        <is>
          <t>Semestre 6</t>
        </is>
      </c>
      <c r="E21" s="17" t="n">
        <v>9</v>
      </c>
      <c r="F21" s="17" t="n">
        <v>12</v>
      </c>
      <c r="G21" s="17" t="n">
        <v>30</v>
      </c>
    </row>
    <row r="22">
      <c r="A22" s="4" t="inlineStr">
        <is>
          <t>MS</t>
        </is>
      </c>
      <c r="B22" s="4" t="inlineStr">
        <is>
          <t>Management du Sport (MS)</t>
        </is>
      </c>
      <c r="C22" s="4" t="inlineStr">
        <is>
          <t>Master</t>
        </is>
      </c>
      <c r="D22" s="4" t="inlineStr">
        <is>
          <t>Semestre 1 (M1/S7)</t>
        </is>
      </c>
      <c r="E22" s="16" t="n">
        <v>9</v>
      </c>
      <c r="F22" s="16" t="n">
        <v>11</v>
      </c>
      <c r="G22" s="16" t="n">
        <v>30</v>
      </c>
    </row>
    <row r="23">
      <c r="A23" s="18" t="inlineStr">
        <is>
          <t>MS</t>
        </is>
      </c>
      <c r="B23" s="18" t="inlineStr">
        <is>
          <t>Management du Sport (MS)</t>
        </is>
      </c>
      <c r="C23" s="18" t="inlineStr">
        <is>
          <t>Master</t>
        </is>
      </c>
      <c r="D23" s="18" t="inlineStr">
        <is>
          <t>Semestre 2 (M1/S8)</t>
        </is>
      </c>
      <c r="E23" s="17" t="n">
        <v>0</v>
      </c>
      <c r="F23" s="17" t="n">
        <v>0</v>
      </c>
      <c r="G23" s="17" t="n">
        <v>0</v>
      </c>
    </row>
    <row r="24">
      <c r="A24" s="4" t="inlineStr">
        <is>
          <t>MS</t>
        </is>
      </c>
      <c r="B24" s="4" t="inlineStr">
        <is>
          <t>Management du Sport (MS)</t>
        </is>
      </c>
      <c r="C24" s="4" t="inlineStr">
        <is>
          <t>Master</t>
        </is>
      </c>
      <c r="D24" s="4" t="inlineStr">
        <is>
          <t>Semestre 3 (M2/S9)</t>
        </is>
      </c>
      <c r="E24" s="16" t="n">
        <v>3</v>
      </c>
      <c r="F24" s="16" t="n">
        <v>4</v>
      </c>
      <c r="G24" s="16" t="n">
        <v>30</v>
      </c>
    </row>
    <row r="25">
      <c r="A25" s="18" t="inlineStr">
        <is>
          <t>MS</t>
        </is>
      </c>
      <c r="B25" s="18" t="inlineStr">
        <is>
          <t>Management du Sport (MS)</t>
        </is>
      </c>
      <c r="C25" s="18" t="inlineStr">
        <is>
          <t>Master</t>
        </is>
      </c>
      <c r="D25" s="18" t="inlineStr">
        <is>
          <t>Semestre 4 (M2/S10)</t>
        </is>
      </c>
      <c r="E25" s="17" t="n">
        <v>2</v>
      </c>
      <c r="F25" s="17" t="n">
        <v>2</v>
      </c>
      <c r="G25" s="17" t="n">
        <v>30</v>
      </c>
    </row>
    <row r="26">
      <c r="A26" s="4" t="inlineStr">
        <is>
          <t>ES</t>
        </is>
      </c>
      <c r="B26" s="4" t="inlineStr">
        <is>
          <t>Entraînement Sportif (ES)</t>
        </is>
      </c>
      <c r="C26" s="4" t="inlineStr">
        <is>
          <t>Licence</t>
        </is>
      </c>
      <c r="D26" s="4" t="inlineStr">
        <is>
          <t>Semestre 1</t>
        </is>
      </c>
      <c r="E26" s="16" t="n">
        <v>9</v>
      </c>
      <c r="F26" s="16" t="n">
        <v>12</v>
      </c>
      <c r="G26" s="16" t="n">
        <v>30</v>
      </c>
    </row>
    <row r="27">
      <c r="A27" s="18" t="inlineStr">
        <is>
          <t>ES</t>
        </is>
      </c>
      <c r="B27" s="18" t="inlineStr">
        <is>
          <t>Entraînement Sportif (ES)</t>
        </is>
      </c>
      <c r="C27" s="18" t="inlineStr">
        <is>
          <t>Licence</t>
        </is>
      </c>
      <c r="D27" s="18" t="inlineStr">
        <is>
          <t>Semestre 2</t>
        </is>
      </c>
      <c r="E27" s="17" t="n">
        <v>9</v>
      </c>
      <c r="F27" s="17" t="n">
        <v>12</v>
      </c>
      <c r="G27" s="17" t="n">
        <v>30</v>
      </c>
    </row>
    <row r="28">
      <c r="A28" s="4" t="inlineStr">
        <is>
          <t>ES</t>
        </is>
      </c>
      <c r="B28" s="4" t="inlineStr">
        <is>
          <t>Entraînement Sportif (ES)</t>
        </is>
      </c>
      <c r="C28" s="4" t="inlineStr">
        <is>
          <t>Licence</t>
        </is>
      </c>
      <c r="D28" s="4" t="inlineStr">
        <is>
          <t>Semestre 3</t>
        </is>
      </c>
      <c r="E28" s="16" t="n">
        <v>11</v>
      </c>
      <c r="F28" s="16" t="n">
        <v>13</v>
      </c>
      <c r="G28" s="16" t="n">
        <v>30</v>
      </c>
    </row>
    <row r="29">
      <c r="A29" s="18" t="inlineStr">
        <is>
          <t>ES</t>
        </is>
      </c>
      <c r="B29" s="18" t="inlineStr">
        <is>
          <t>Entraînement Sportif (ES)</t>
        </is>
      </c>
      <c r="C29" s="18" t="inlineStr">
        <is>
          <t>Licence</t>
        </is>
      </c>
      <c r="D29" s="18" t="inlineStr">
        <is>
          <t>Semestre 4</t>
        </is>
      </c>
      <c r="E29" s="17" t="n">
        <v>10</v>
      </c>
      <c r="F29" s="17" t="n">
        <v>12</v>
      </c>
      <c r="G29" s="17" t="n">
        <v>30</v>
      </c>
    </row>
    <row r="30">
      <c r="A30" s="4" t="inlineStr">
        <is>
          <t>ES</t>
        </is>
      </c>
      <c r="B30" s="4" t="inlineStr">
        <is>
          <t>Entraînement Sportif (ES)</t>
        </is>
      </c>
      <c r="C30" s="4" t="inlineStr">
        <is>
          <t>Licence</t>
        </is>
      </c>
      <c r="D30" s="4" t="inlineStr">
        <is>
          <t>Semestre 5</t>
        </is>
      </c>
      <c r="E30" s="16" t="n">
        <v>10</v>
      </c>
      <c r="F30" s="16" t="n">
        <v>13</v>
      </c>
      <c r="G30" s="16" t="n">
        <v>30</v>
      </c>
    </row>
    <row r="31">
      <c r="A31" s="18" t="inlineStr">
        <is>
          <t>ES</t>
        </is>
      </c>
      <c r="B31" s="18" t="inlineStr">
        <is>
          <t>Entraînement Sportif (ES)</t>
        </is>
      </c>
      <c r="C31" s="18" t="inlineStr">
        <is>
          <t>Licence</t>
        </is>
      </c>
      <c r="D31" s="18" t="inlineStr">
        <is>
          <t>Semestre 6</t>
        </is>
      </c>
      <c r="E31" s="17" t="n">
        <v>10</v>
      </c>
      <c r="F31" s="17" t="n">
        <v>11</v>
      </c>
      <c r="G31" s="17" t="n">
        <v>30</v>
      </c>
    </row>
    <row r="32">
      <c r="A32" s="4" t="inlineStr">
        <is>
          <t>ES</t>
        </is>
      </c>
      <c r="B32" s="4" t="inlineStr">
        <is>
          <t>Entraînement Sportif (ES)</t>
        </is>
      </c>
      <c r="C32" s="4" t="inlineStr">
        <is>
          <t>Master</t>
        </is>
      </c>
      <c r="D32" s="4" t="inlineStr">
        <is>
          <t>Semestre 1 (M1/S7)</t>
        </is>
      </c>
      <c r="E32" s="16" t="n">
        <v>8</v>
      </c>
      <c r="F32" s="16" t="n">
        <v>9</v>
      </c>
      <c r="G32" s="16" t="n">
        <v>30</v>
      </c>
    </row>
    <row r="33">
      <c r="A33" s="18" t="inlineStr">
        <is>
          <t>ES</t>
        </is>
      </c>
      <c r="B33" s="18" t="inlineStr">
        <is>
          <t>Entraînement Sportif (ES)</t>
        </is>
      </c>
      <c r="C33" s="18" t="inlineStr">
        <is>
          <t>Master</t>
        </is>
      </c>
      <c r="D33" s="18" t="inlineStr">
        <is>
          <t>Semestre 2 (M1/S8)</t>
        </is>
      </c>
      <c r="E33" s="17" t="n">
        <v>9</v>
      </c>
      <c r="F33" s="17" t="n">
        <v>11</v>
      </c>
      <c r="G33" s="17" t="n">
        <v>30</v>
      </c>
    </row>
    <row r="34">
      <c r="A34" s="4" t="inlineStr">
        <is>
          <t>ES</t>
        </is>
      </c>
      <c r="B34" s="4" t="inlineStr">
        <is>
          <t>Entraînement Sportif (ES)</t>
        </is>
      </c>
      <c r="C34" s="4" t="inlineStr">
        <is>
          <t>Master</t>
        </is>
      </c>
      <c r="D34" s="4" t="inlineStr">
        <is>
          <t>Semestre 3 (M2/S9)</t>
        </is>
      </c>
      <c r="E34" s="16" t="n">
        <v>3</v>
      </c>
      <c r="F34" s="16" t="n">
        <v>4</v>
      </c>
      <c r="G34" s="16" t="n">
        <v>30</v>
      </c>
    </row>
    <row r="35">
      <c r="A35" s="18" t="inlineStr">
        <is>
          <t>ES</t>
        </is>
      </c>
      <c r="B35" s="18" t="inlineStr">
        <is>
          <t>Entraînement Sportif (ES)</t>
        </is>
      </c>
      <c r="C35" s="18" t="inlineStr">
        <is>
          <t>Master</t>
        </is>
      </c>
      <c r="D35" s="18" t="inlineStr">
        <is>
          <t>Semestre 4 (M2/S10)</t>
        </is>
      </c>
      <c r="E35" s="17" t="n">
        <v>2</v>
      </c>
      <c r="F35" s="17" t="n">
        <v>2</v>
      </c>
      <c r="G35" s="17" t="n">
        <v>30</v>
      </c>
    </row>
    <row r="36">
      <c r="A36" s="4" t="inlineStr">
        <is>
          <t>APA</t>
        </is>
      </c>
      <c r="B36" s="4" t="inlineStr">
        <is>
          <t>Activités Physiques Adaptées (APA)</t>
        </is>
      </c>
      <c r="C36" s="4" t="inlineStr">
        <is>
          <t>Licence</t>
        </is>
      </c>
      <c r="D36" s="4" t="inlineStr">
        <is>
          <t>Semestre 1</t>
        </is>
      </c>
      <c r="E36" s="16" t="n">
        <v>9</v>
      </c>
      <c r="F36" s="16" t="n">
        <v>12</v>
      </c>
      <c r="G36" s="16" t="n">
        <v>30</v>
      </c>
    </row>
    <row r="37">
      <c r="A37" s="18" t="inlineStr">
        <is>
          <t>APA</t>
        </is>
      </c>
      <c r="B37" s="18" t="inlineStr">
        <is>
          <t>Activités Physiques Adaptées (APA)</t>
        </is>
      </c>
      <c r="C37" s="18" t="inlineStr">
        <is>
          <t>Licence</t>
        </is>
      </c>
      <c r="D37" s="18" t="inlineStr">
        <is>
          <t>Semestre 2</t>
        </is>
      </c>
      <c r="E37" s="17" t="n">
        <v>9</v>
      </c>
      <c r="F37" s="17" t="n">
        <v>12</v>
      </c>
      <c r="G37" s="17" t="n">
        <v>30</v>
      </c>
    </row>
    <row r="38">
      <c r="A38" s="4" t="inlineStr">
        <is>
          <t>APA</t>
        </is>
      </c>
      <c r="B38" s="4" t="inlineStr">
        <is>
          <t>Activités Physiques Adaptées (APA)</t>
        </is>
      </c>
      <c r="C38" s="4" t="inlineStr">
        <is>
          <t>Licence</t>
        </is>
      </c>
      <c r="D38" s="4" t="inlineStr">
        <is>
          <t>Semestre 3</t>
        </is>
      </c>
      <c r="E38" s="16" t="n">
        <v>11</v>
      </c>
      <c r="F38" s="16" t="n">
        <v>13</v>
      </c>
      <c r="G38" s="16" t="n">
        <v>30</v>
      </c>
    </row>
    <row r="39">
      <c r="A39" s="18" t="inlineStr">
        <is>
          <t>APA</t>
        </is>
      </c>
      <c r="B39" s="18" t="inlineStr">
        <is>
          <t>Activités Physiques Adaptées (APA)</t>
        </is>
      </c>
      <c r="C39" s="18" t="inlineStr">
        <is>
          <t>Licence</t>
        </is>
      </c>
      <c r="D39" s="18" t="inlineStr">
        <is>
          <t>Semestre 4</t>
        </is>
      </c>
      <c r="E39" s="17" t="n">
        <v>10</v>
      </c>
      <c r="F39" s="17" t="n">
        <v>14</v>
      </c>
      <c r="G39" s="17" t="n">
        <v>30</v>
      </c>
    </row>
    <row r="40">
      <c r="A40" s="4" t="inlineStr">
        <is>
          <t>APA</t>
        </is>
      </c>
      <c r="B40" s="4" t="inlineStr">
        <is>
          <t>Activités Physiques Adaptées (APA)</t>
        </is>
      </c>
      <c r="C40" s="4" t="inlineStr">
        <is>
          <t>Licence</t>
        </is>
      </c>
      <c r="D40" s="4" t="inlineStr">
        <is>
          <t>Semestre 5</t>
        </is>
      </c>
      <c r="E40" s="16" t="n">
        <v>9</v>
      </c>
      <c r="F40" s="16" t="n">
        <v>13</v>
      </c>
      <c r="G40" s="16" t="n">
        <v>30</v>
      </c>
    </row>
    <row r="41">
      <c r="A41" s="18" t="inlineStr">
        <is>
          <t>APA</t>
        </is>
      </c>
      <c r="B41" s="18" t="inlineStr">
        <is>
          <t>Activités Physiques Adaptées (APA)</t>
        </is>
      </c>
      <c r="C41" s="18" t="inlineStr">
        <is>
          <t>Licence</t>
        </is>
      </c>
      <c r="D41" s="18" t="inlineStr">
        <is>
          <t>Semestre 6</t>
        </is>
      </c>
      <c r="E41" s="17" t="n">
        <v>12</v>
      </c>
      <c r="F41" s="17" t="n">
        <v>12</v>
      </c>
      <c r="G41" s="17" t="n">
        <v>30</v>
      </c>
    </row>
    <row r="42">
      <c r="A42" s="4" t="inlineStr">
        <is>
          <t>APA</t>
        </is>
      </c>
      <c r="B42" s="4" t="inlineStr">
        <is>
          <t>Activités Physiques Adaptées (APA)</t>
        </is>
      </c>
      <c r="C42" s="4" t="inlineStr">
        <is>
          <t>Master</t>
        </is>
      </c>
      <c r="D42" s="4" t="inlineStr">
        <is>
          <t>Semestre 1 (M1/S7)</t>
        </is>
      </c>
      <c r="E42" s="16" t="n">
        <v>9</v>
      </c>
      <c r="F42" s="16" t="n">
        <v>10</v>
      </c>
      <c r="G42" s="16" t="n">
        <v>30</v>
      </c>
    </row>
    <row r="43">
      <c r="A43" s="18" t="inlineStr">
        <is>
          <t>APA</t>
        </is>
      </c>
      <c r="B43" s="18" t="inlineStr">
        <is>
          <t>Activités Physiques Adaptées (APA)</t>
        </is>
      </c>
      <c r="C43" s="18" t="inlineStr">
        <is>
          <t>Master</t>
        </is>
      </c>
      <c r="D43" s="18" t="inlineStr">
        <is>
          <t>Semestre 2 (M1/S8)</t>
        </is>
      </c>
      <c r="E43" s="17" t="n">
        <v>9</v>
      </c>
      <c r="F43" s="17" t="n">
        <v>12</v>
      </c>
      <c r="G43" s="17" t="n">
        <v>30</v>
      </c>
    </row>
    <row r="44">
      <c r="A44" s="4" t="inlineStr">
        <is>
          <t>APA</t>
        </is>
      </c>
      <c r="B44" s="4" t="inlineStr">
        <is>
          <t>Activités Physiques Adaptées (APA)</t>
        </is>
      </c>
      <c r="C44" s="4" t="inlineStr">
        <is>
          <t>Master</t>
        </is>
      </c>
      <c r="D44" s="4" t="inlineStr">
        <is>
          <t>Semestre 3 (M2/S9)</t>
        </is>
      </c>
      <c r="E44" s="16" t="n">
        <v>3</v>
      </c>
      <c r="F44" s="16" t="n">
        <v>4</v>
      </c>
      <c r="G44" s="16" t="n">
        <v>30</v>
      </c>
    </row>
    <row r="45">
      <c r="A45" s="18" t="inlineStr">
        <is>
          <t>APA</t>
        </is>
      </c>
      <c r="B45" s="18" t="inlineStr">
        <is>
          <t>Activités Physiques Adaptées (APA)</t>
        </is>
      </c>
      <c r="C45" s="18" t="inlineStr">
        <is>
          <t>Master</t>
        </is>
      </c>
      <c r="D45" s="18" t="inlineStr">
        <is>
          <t>Semestre 4 (M2/S10)</t>
        </is>
      </c>
      <c r="E45" s="17" t="n">
        <v>2</v>
      </c>
      <c r="F45" s="17" t="n">
        <v>2</v>
      </c>
      <c r="G45" s="17" t="n">
        <v>30</v>
      </c>
    </row>
    <row r="47">
      <c r="A47" s="14" t="inlineStr">
        <is>
          <t>B. Répartition des crédits par famille de modules (classification indicative)</t>
        </is>
      </c>
    </row>
    <row r="48">
      <c r="A48" s="15" t="inlineStr">
        <is>
          <t>Famille de modules</t>
        </is>
      </c>
      <c r="B48" s="15" t="inlineStr">
        <is>
          <t>EM</t>
        </is>
      </c>
      <c r="C48" s="15" t="inlineStr">
        <is>
          <t>MS</t>
        </is>
      </c>
      <c r="D48" s="15" t="inlineStr">
        <is>
          <t>ES</t>
        </is>
      </c>
      <c r="E48" s="15" t="inlineStr">
        <is>
          <t>APA</t>
        </is>
      </c>
      <c r="F48" s="15" t="inlineStr">
        <is>
          <t>Total</t>
        </is>
      </c>
    </row>
    <row r="49">
      <c r="A49" s="4" t="inlineStr">
        <is>
          <t>Recherche &amp; méthodologie</t>
        </is>
      </c>
      <c r="B49" s="16" t="n">
        <v>51</v>
      </c>
      <c r="C49" s="16" t="n">
        <v>44</v>
      </c>
      <c r="D49" s="16" t="n">
        <v>53</v>
      </c>
      <c r="E49" s="16" t="n">
        <v>51</v>
      </c>
      <c r="F49" s="16" t="n">
        <v>199</v>
      </c>
    </row>
    <row r="50">
      <c r="A50" s="18" t="inlineStr">
        <is>
          <t>Langues &amp; communication</t>
        </is>
      </c>
      <c r="B50" s="17" t="n">
        <v>28</v>
      </c>
      <c r="C50" s="17" t="n">
        <v>20</v>
      </c>
      <c r="D50" s="17" t="n">
        <v>22</v>
      </c>
      <c r="E50" s="17" t="n">
        <v>22</v>
      </c>
      <c r="F50" s="17" t="n">
        <v>92</v>
      </c>
    </row>
    <row r="51">
      <c r="A51" s="4" t="inlineStr">
        <is>
          <t>TIC / bureautique</t>
        </is>
      </c>
      <c r="B51" s="16" t="n">
        <v>1</v>
      </c>
      <c r="C51" s="16" t="n">
        <v>4</v>
      </c>
      <c r="D51" s="16" t="n">
        <v>4</v>
      </c>
      <c r="E51" s="16" t="n">
        <v>9</v>
      </c>
      <c r="F51" s="16" t="n">
        <v>18</v>
      </c>
    </row>
    <row r="52">
      <c r="A52" s="18" t="inlineStr">
        <is>
          <t>Professionnalisation / stages</t>
        </is>
      </c>
      <c r="B52" s="17" t="n">
        <v>44</v>
      </c>
      <c r="C52" s="17" t="n">
        <v>42</v>
      </c>
      <c r="D52" s="17" t="n">
        <v>46</v>
      </c>
      <c r="E52" s="17" t="n">
        <v>48</v>
      </c>
      <c r="F52" s="17" t="n">
        <v>180</v>
      </c>
    </row>
    <row r="53">
      <c r="A53" s="4" t="inlineStr">
        <is>
          <t>Transversal / civique / secourisme</t>
        </is>
      </c>
      <c r="B53" s="16" t="n">
        <v>5</v>
      </c>
      <c r="C53" s="16" t="n">
        <v>3</v>
      </c>
      <c r="D53" s="16" t="n">
        <v>10</v>
      </c>
      <c r="E53" s="16" t="n">
        <v>7</v>
      </c>
      <c r="F53" s="16" t="n">
        <v>25</v>
      </c>
    </row>
    <row r="54">
      <c r="A54" s="18" t="inlineStr">
        <is>
          <t>EPS / didactique-pédagogie</t>
        </is>
      </c>
      <c r="B54" s="17" t="n">
        <v>82</v>
      </c>
      <c r="C54" s="17" t="n">
        <v>2</v>
      </c>
      <c r="D54" s="17" t="n">
        <v>2</v>
      </c>
      <c r="E54" s="17" t="n">
        <v>12</v>
      </c>
      <c r="F54" s="17" t="n">
        <v>98</v>
      </c>
    </row>
    <row r="55">
      <c r="A55" s="4" t="inlineStr">
        <is>
          <t>APA (activité physique adaptée)</t>
        </is>
      </c>
      <c r="B55" s="16" t="n">
        <v>0</v>
      </c>
      <c r="C55" s="16" t="n">
        <v>0</v>
      </c>
      <c r="D55" s="16" t="n">
        <v>0</v>
      </c>
      <c r="E55" s="16" t="n">
        <v>57</v>
      </c>
      <c r="F55" s="16" t="n">
        <v>57</v>
      </c>
    </row>
    <row r="56">
      <c r="A56" s="18" t="inlineStr">
        <is>
          <t>Entraînement sportif</t>
        </is>
      </c>
      <c r="B56" s="17" t="n">
        <v>0</v>
      </c>
      <c r="C56" s="17" t="n">
        <v>0</v>
      </c>
      <c r="D56" s="17" t="n">
        <v>58</v>
      </c>
      <c r="E56" s="17" t="n">
        <v>0</v>
      </c>
      <c r="F56" s="17" t="n">
        <v>58</v>
      </c>
    </row>
    <row r="57">
      <c r="A57" s="4" t="inlineStr">
        <is>
          <t>Management / droit / économie</t>
        </is>
      </c>
      <c r="B57" s="16" t="n">
        <v>0</v>
      </c>
      <c r="C57" s="16" t="n">
        <v>67</v>
      </c>
      <c r="D57" s="16" t="n">
        <v>0</v>
      </c>
      <c r="E57" s="16" t="n">
        <v>2</v>
      </c>
      <c r="F57" s="16" t="n">
        <v>69</v>
      </c>
    </row>
    <row r="58">
      <c r="A58" s="18" t="inlineStr">
        <is>
          <t>Sciences biomédicales</t>
        </is>
      </c>
      <c r="B58" s="17" t="n">
        <v>18</v>
      </c>
      <c r="C58" s="17" t="n">
        <v>16</v>
      </c>
      <c r="D58" s="17" t="n">
        <v>26</v>
      </c>
      <c r="E58" s="17" t="n">
        <v>22</v>
      </c>
      <c r="F58" s="17" t="n">
        <v>82</v>
      </c>
    </row>
    <row r="59">
      <c r="A59" s="4" t="inlineStr">
        <is>
          <t>Sciences humaines &amp; sociales</t>
        </is>
      </c>
      <c r="B59" s="16" t="n">
        <v>20</v>
      </c>
      <c r="C59" s="16" t="n">
        <v>18</v>
      </c>
      <c r="D59" s="16" t="n">
        <v>16</v>
      </c>
      <c r="E59" s="16" t="n">
        <v>12</v>
      </c>
      <c r="F59" s="16" t="n">
        <v>66</v>
      </c>
    </row>
    <row r="60">
      <c r="A60" s="18" t="inlineStr">
        <is>
          <t>Pratiques sportives (APS)</t>
        </is>
      </c>
      <c r="B60" s="17" t="n">
        <v>51</v>
      </c>
      <c r="C60" s="17" t="n">
        <v>54</v>
      </c>
      <c r="D60" s="17" t="n">
        <v>63</v>
      </c>
      <c r="E60" s="17" t="n">
        <v>58</v>
      </c>
      <c r="F60" s="17" t="n">
        <v>226</v>
      </c>
    </row>
    <row r="61">
      <c r="A61" s="4" t="inlineStr">
        <is>
          <t>TOTAL</t>
        </is>
      </c>
      <c r="B61" s="16" t="n">
        <v>300</v>
      </c>
      <c r="C61" s="16" t="n">
        <v>270</v>
      </c>
      <c r="D61" s="16" t="n">
        <v>300</v>
      </c>
      <c r="E61" s="16" t="n">
        <v>300</v>
      </c>
      <c r="F61" s="16" t="n">
        <v>1170</v>
      </c>
    </row>
    <row r="81">
      <c r="A81" t="inlineStr">
        <is>
          <t>Semestre</t>
        </is>
      </c>
      <c r="B81" t="inlineStr">
        <is>
          <t>EM</t>
        </is>
      </c>
      <c r="C81" t="inlineStr">
        <is>
          <t>MS</t>
        </is>
      </c>
      <c r="D81" t="inlineStr">
        <is>
          <t>ES</t>
        </is>
      </c>
      <c r="E81" t="inlineStr">
        <is>
          <t>APA</t>
        </is>
      </c>
    </row>
    <row r="82">
      <c r="A82" t="inlineStr">
        <is>
          <t>S1</t>
        </is>
      </c>
      <c r="B82" t="n">
        <v>9</v>
      </c>
      <c r="C82" t="n">
        <v>9</v>
      </c>
      <c r="D82" t="n">
        <v>9</v>
      </c>
      <c r="E82" t="n">
        <v>9</v>
      </c>
    </row>
    <row r="83">
      <c r="A83" t="inlineStr">
        <is>
          <t>S2</t>
        </is>
      </c>
      <c r="B83" t="n">
        <v>9</v>
      </c>
      <c r="C83" t="n">
        <v>9</v>
      </c>
      <c r="D83" t="n">
        <v>9</v>
      </c>
      <c r="E83" t="n">
        <v>9</v>
      </c>
    </row>
    <row r="84">
      <c r="A84" t="inlineStr">
        <is>
          <t>S3</t>
        </is>
      </c>
      <c r="B84" t="n">
        <v>11</v>
      </c>
      <c r="C84" t="n">
        <v>11</v>
      </c>
      <c r="D84" t="n">
        <v>11</v>
      </c>
      <c r="E84" t="n">
        <v>11</v>
      </c>
    </row>
    <row r="85">
      <c r="A85" t="inlineStr">
        <is>
          <t>S4</t>
        </is>
      </c>
      <c r="B85" t="n">
        <v>10</v>
      </c>
      <c r="C85" t="n">
        <v>10</v>
      </c>
      <c r="D85" t="n">
        <v>10</v>
      </c>
      <c r="E85" t="n">
        <v>10</v>
      </c>
    </row>
    <row r="86">
      <c r="A86" t="inlineStr">
        <is>
          <t>S5</t>
        </is>
      </c>
      <c r="B86" t="n">
        <v>11</v>
      </c>
      <c r="C86" t="n">
        <v>11</v>
      </c>
      <c r="D86" t="n">
        <v>10</v>
      </c>
      <c r="E86" t="n">
        <v>9</v>
      </c>
    </row>
    <row r="87">
      <c r="A87" t="inlineStr">
        <is>
          <t>S6</t>
        </is>
      </c>
      <c r="B87" t="n">
        <v>12</v>
      </c>
      <c r="C87" t="n">
        <v>9</v>
      </c>
      <c r="D87" t="n">
        <v>10</v>
      </c>
      <c r="E87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8" customWidth="1" min="5" max="5"/>
    <col width="18" customWidth="1" min="6" max="6"/>
    <col width="44" customWidth="1" min="7" max="7"/>
    <col width="70" customWidth="1" min="8" max="8"/>
    <col width="9" customWidth="1" min="9" max="9"/>
    <col width="9" customWidth="1" min="10" max="10"/>
    <col width="28" customWidth="1" min="11" max="11"/>
    <col width="60" customWidth="1" min="12" max="12"/>
  </cols>
  <sheetData>
    <row r="1">
      <c r="A1" s="30" t="inlineStr">
        <is>
          <t>BASE DE DONNÉES NORMALISÉE DES ENSEIGNEMENTS (source d'analyse - ne pas modifier les en-têtes)</t>
        </is>
      </c>
    </row>
    <row r="3">
      <c r="A3" s="15" t="inlineStr">
        <is>
          <t>Filière</t>
        </is>
      </c>
      <c r="B3" s="15" t="inlineStr">
        <is>
          <t>Filière (nom)</t>
        </is>
      </c>
      <c r="C3" s="15" t="inlineStr">
        <is>
          <t>École</t>
        </is>
      </c>
      <c r="D3" s="15" t="inlineStr">
        <is>
          <t>Palier</t>
        </is>
      </c>
      <c r="E3" s="15" t="inlineStr">
        <is>
          <t>Année</t>
        </is>
      </c>
      <c r="F3" s="15" t="inlineStr">
        <is>
          <t>Semestre</t>
        </is>
      </c>
      <c r="G3" s="15" t="inlineStr">
        <is>
          <t>UE</t>
        </is>
      </c>
      <c r="H3" s="15" t="inlineStr">
        <is>
          <t>ECUE (contenu)</t>
        </is>
      </c>
      <c r="I3" s="15" t="inlineStr">
        <is>
          <t>Nb ECUE</t>
        </is>
      </c>
      <c r="J3" s="15" t="inlineStr">
        <is>
          <t>Crédits</t>
        </is>
      </c>
      <c r="K3" s="15" t="inlineStr">
        <is>
          <t>Famille de modules</t>
        </is>
      </c>
      <c r="L3" s="15" t="inlineStr">
        <is>
          <t>Clé (Filière|Semestre|UE)</t>
        </is>
      </c>
    </row>
    <row r="4">
      <c r="A4" s="4" t="inlineStr">
        <is>
          <t>EM</t>
        </is>
      </c>
      <c r="B4" s="4" t="inlineStr">
        <is>
          <t>Éducation et Motricité (EM)</t>
        </is>
      </c>
      <c r="C4" s="4" t="inlineStr">
        <is>
          <t>ENSEPS</t>
        </is>
      </c>
      <c r="D4" s="4" t="inlineStr">
        <is>
          <t>Licence</t>
        </is>
      </c>
      <c r="E4" s="4" t="inlineStr">
        <is>
          <t>L1</t>
        </is>
      </c>
      <c r="F4" s="4" t="inlineStr">
        <is>
          <t>Semestre 1</t>
        </is>
      </c>
      <c r="G4" s="4" t="inlineStr">
        <is>
          <t>Sciences de la vie et de la santé</t>
        </is>
      </c>
      <c r="H4" s="4" t="inlineStr">
        <is>
          <t>ECUE 1 : Anatomie descriptive du squelette appendiculaire ; ECUE 2 : Anatomie fonctionnelle du corps humain</t>
        </is>
      </c>
      <c r="I4" s="16" t="n">
        <v>2</v>
      </c>
      <c r="J4" s="16" t="n">
        <v>6</v>
      </c>
      <c r="K4" s="4" t="inlineStr">
        <is>
          <t>Sciences biomédicales</t>
        </is>
      </c>
      <c r="L4" s="4" t="inlineStr">
        <is>
          <t>EM|Semestre 1|Sciences de la vie et de la santé</t>
        </is>
      </c>
    </row>
    <row r="5">
      <c r="A5" s="18" t="inlineStr">
        <is>
          <t>EM</t>
        </is>
      </c>
      <c r="B5" s="18" t="inlineStr">
        <is>
          <t>Éducation et Motricité (EM)</t>
        </is>
      </c>
      <c r="C5" s="18" t="inlineStr">
        <is>
          <t>ENSEPS</t>
        </is>
      </c>
      <c r="D5" s="18" t="inlineStr">
        <is>
          <t>Licence</t>
        </is>
      </c>
      <c r="E5" s="18" t="inlineStr">
        <is>
          <t>L1</t>
        </is>
      </c>
      <c r="F5" s="18" t="inlineStr">
        <is>
          <t>Semestre 1</t>
        </is>
      </c>
      <c r="G5" s="18" t="inlineStr">
        <is>
          <t>Sciences humaines et sociales</t>
        </is>
      </c>
      <c r="H5" s="18" t="inlineStr">
        <is>
          <t>ECUE 1 : Introduction à la psychologie générale ; ECUE 2 : Psychologie de l'apprentissage et du développement</t>
        </is>
      </c>
      <c r="I5" s="17" t="n">
        <v>2</v>
      </c>
      <c r="J5" s="17" t="n">
        <v>4</v>
      </c>
      <c r="K5" s="18" t="inlineStr">
        <is>
          <t>Sciences humaines &amp; sociales</t>
        </is>
      </c>
      <c r="L5" s="18" t="inlineStr">
        <is>
          <t>EM|Semestre 1|Sciences humaines et sociales</t>
        </is>
      </c>
    </row>
    <row r="6">
      <c r="A6" s="4" t="inlineStr">
        <is>
          <t>EM</t>
        </is>
      </c>
      <c r="B6" s="4" t="inlineStr">
        <is>
          <t>Éducation et Motricité (EM)</t>
        </is>
      </c>
      <c r="C6" s="4" t="inlineStr">
        <is>
          <t>ENSEPS</t>
        </is>
      </c>
      <c r="D6" s="4" t="inlineStr">
        <is>
          <t>Licence</t>
        </is>
      </c>
      <c r="E6" s="4" t="inlineStr">
        <is>
          <t>L1</t>
        </is>
      </c>
      <c r="F6" s="4" t="inlineStr">
        <is>
          <t>Semestre 1</t>
        </is>
      </c>
      <c r="G6" s="4" t="inlineStr">
        <is>
          <t>Sciences de l'intervention</t>
        </is>
      </c>
      <c r="H6" s="4" t="inlineStr">
        <is>
          <t>Concepts de base en intervention des APS</t>
        </is>
      </c>
      <c r="I6" s="16" t="n">
        <v>1</v>
      </c>
      <c r="J6" s="16" t="n">
        <v>2</v>
      </c>
      <c r="K6" s="4" t="inlineStr">
        <is>
          <t>EPS / didactique-pédagogie</t>
        </is>
      </c>
      <c r="L6" s="4" t="inlineStr">
        <is>
          <t>EM|Semestre 1|Sciences de l'intervention</t>
        </is>
      </c>
    </row>
    <row r="7">
      <c r="A7" s="18" t="inlineStr">
        <is>
          <t>EM</t>
        </is>
      </c>
      <c r="B7" s="18" t="inlineStr">
        <is>
          <t>Éducation et Motricité (EM)</t>
        </is>
      </c>
      <c r="C7" s="18" t="inlineStr">
        <is>
          <t>ENSEPS</t>
        </is>
      </c>
      <c r="D7" s="18" t="inlineStr">
        <is>
          <t>Licence</t>
        </is>
      </c>
      <c r="E7" s="18" t="inlineStr">
        <is>
          <t>L1</t>
        </is>
      </c>
      <c r="F7" s="18" t="inlineStr">
        <is>
          <t>Semestre 1</t>
        </is>
      </c>
      <c r="G7" s="18" t="inlineStr">
        <is>
          <t>Initiation aux fondamentaux du football</t>
        </is>
      </c>
      <c r="H7" s="18" t="inlineStr">
        <is>
          <t>Football : Fondamentaux</t>
        </is>
      </c>
      <c r="I7" s="17" t="n">
        <v>1</v>
      </c>
      <c r="J7" s="17" t="n">
        <v>3</v>
      </c>
      <c r="K7" s="18" t="inlineStr">
        <is>
          <t>Pratiques sportives (APS)</t>
        </is>
      </c>
      <c r="L7" s="18" t="inlineStr">
        <is>
          <t>EM|Semestre 1|Initiation aux fondamentaux du football</t>
        </is>
      </c>
    </row>
    <row r="8">
      <c r="A8" s="4" t="inlineStr">
        <is>
          <t>EM</t>
        </is>
      </c>
      <c r="B8" s="4" t="inlineStr">
        <is>
          <t>Éducation et Motricité (EM)</t>
        </is>
      </c>
      <c r="C8" s="4" t="inlineStr">
        <is>
          <t>ENSEPS</t>
        </is>
      </c>
      <c r="D8" s="4" t="inlineStr">
        <is>
          <t>Licence</t>
        </is>
      </c>
      <c r="E8" s="4" t="inlineStr">
        <is>
          <t>L1</t>
        </is>
      </c>
      <c r="F8" s="4" t="inlineStr">
        <is>
          <t>Semestre 1</t>
        </is>
      </c>
      <c r="G8" s="4" t="inlineStr">
        <is>
          <t>Initiation aux fondamentaux du handball</t>
        </is>
      </c>
      <c r="H8" s="4" t="inlineStr">
        <is>
          <t>Handball : Fondamentaux</t>
        </is>
      </c>
      <c r="I8" s="16" t="n">
        <v>1</v>
      </c>
      <c r="J8" s="16" t="n">
        <v>3</v>
      </c>
      <c r="K8" s="4" t="inlineStr">
        <is>
          <t>Pratiques sportives (APS)</t>
        </is>
      </c>
      <c r="L8" s="4" t="inlineStr">
        <is>
          <t>EM|Semestre 1|Initiation aux fondamentaux du handball</t>
        </is>
      </c>
    </row>
    <row r="9">
      <c r="A9" s="18" t="inlineStr">
        <is>
          <t>EM</t>
        </is>
      </c>
      <c r="B9" s="18" t="inlineStr">
        <is>
          <t>Éducation et Motricité (EM)</t>
        </is>
      </c>
      <c r="C9" s="18" t="inlineStr">
        <is>
          <t>ENSEPS</t>
        </is>
      </c>
      <c r="D9" s="18" t="inlineStr">
        <is>
          <t>Licence</t>
        </is>
      </c>
      <c r="E9" s="18" t="inlineStr">
        <is>
          <t>L1</t>
        </is>
      </c>
      <c r="F9" s="18" t="inlineStr">
        <is>
          <t>Semestre 1</t>
        </is>
      </c>
      <c r="G9" s="18" t="inlineStr">
        <is>
          <t>Initiation aux fondamentaux de la gymnastique</t>
        </is>
      </c>
      <c r="H9" s="18" t="inlineStr">
        <is>
          <t>Gymnastique : Fondamentaux</t>
        </is>
      </c>
      <c r="I9" s="17" t="n">
        <v>1</v>
      </c>
      <c r="J9" s="17" t="n">
        <v>2</v>
      </c>
      <c r="K9" s="18" t="inlineStr">
        <is>
          <t>Pratiques sportives (APS)</t>
        </is>
      </c>
      <c r="L9" s="18" t="inlineStr">
        <is>
          <t>EM|Semestre 1|Initiation aux fondamentaux de la gymnastique</t>
        </is>
      </c>
    </row>
    <row r="10">
      <c r="A10" s="4" t="inlineStr">
        <is>
          <t>EM</t>
        </is>
      </c>
      <c r="B10" s="4" t="inlineStr">
        <is>
          <t>Éducation et Motricité (EM)</t>
        </is>
      </c>
      <c r="C10" s="4" t="inlineStr">
        <is>
          <t>ENSEPS</t>
        </is>
      </c>
      <c r="D10" s="4" t="inlineStr">
        <is>
          <t>Licence</t>
        </is>
      </c>
      <c r="E10" s="4" t="inlineStr">
        <is>
          <t>L1</t>
        </is>
      </c>
      <c r="F10" s="4" t="inlineStr">
        <is>
          <t>Semestre 1</t>
        </is>
      </c>
      <c r="G10" s="4" t="inlineStr">
        <is>
          <t>Initiation aux fondamentaux de l'athlétisme</t>
        </is>
      </c>
      <c r="H10" s="4" t="inlineStr">
        <is>
          <t>Fondamentaux des courses et des sauts</t>
        </is>
      </c>
      <c r="I10" s="16" t="n">
        <v>1</v>
      </c>
      <c r="J10" s="16" t="n">
        <v>3</v>
      </c>
      <c r="K10" s="4" t="inlineStr">
        <is>
          <t>Pratiques sportives (APS)</t>
        </is>
      </c>
      <c r="L10" s="4" t="inlineStr">
        <is>
          <t>EM|Semestre 1|Initiation aux fondamentaux de l'athlétisme</t>
        </is>
      </c>
    </row>
    <row r="11">
      <c r="A11" s="18" t="inlineStr">
        <is>
          <t>EM</t>
        </is>
      </c>
      <c r="B11" s="18" t="inlineStr">
        <is>
          <t>Éducation et Motricité (EM)</t>
        </is>
      </c>
      <c r="C11" s="18" t="inlineStr">
        <is>
          <t>ENSEPS</t>
        </is>
      </c>
      <c r="D11" s="18" t="inlineStr">
        <is>
          <t>Licence</t>
        </is>
      </c>
      <c r="E11" s="18" t="inlineStr">
        <is>
          <t>L1</t>
        </is>
      </c>
      <c r="F11" s="18" t="inlineStr">
        <is>
          <t>Semestre 1</t>
        </is>
      </c>
      <c r="G11" s="18" t="inlineStr">
        <is>
          <t>Spécialisation théorique et pratique dans une APS</t>
        </is>
      </c>
      <c r="H11" s="18" t="inlineStr">
        <is>
          <t>APS de spécialité (choix d'un sport de spécialité)</t>
        </is>
      </c>
      <c r="I11" s="17" t="n">
        <v>1</v>
      </c>
      <c r="J11" s="17" t="n">
        <v>3</v>
      </c>
      <c r="K11" s="18" t="inlineStr">
        <is>
          <t>Pratiques sportives (APS)</t>
        </is>
      </c>
      <c r="L11" s="18" t="inlineStr">
        <is>
          <t>EM|Semestre 1|Spécialisation théorique et pratique dans une APS</t>
        </is>
      </c>
    </row>
    <row r="12">
      <c r="A12" s="4" t="inlineStr">
        <is>
          <t>EM</t>
        </is>
      </c>
      <c r="B12" s="4" t="inlineStr">
        <is>
          <t>Éducation et Motricité (EM)</t>
        </is>
      </c>
      <c r="C12" s="4" t="inlineStr">
        <is>
          <t>ENSEPS</t>
        </is>
      </c>
      <c r="D12" s="4" t="inlineStr">
        <is>
          <t>Licence</t>
        </is>
      </c>
      <c r="E12" s="4" t="inlineStr">
        <is>
          <t>L1</t>
        </is>
      </c>
      <c r="F12" s="4" t="inlineStr">
        <is>
          <t>Semestre 1</t>
        </is>
      </c>
      <c r="G12" s="4" t="inlineStr">
        <is>
          <t>Techniques de communication écrite et orale</t>
        </is>
      </c>
      <c r="H12" s="4" t="inlineStr">
        <is>
          <t>ECUE 1 : Étude des styles de rédaction en langue française ; ECUE 2 : Anglais : vocabulaire du sport</t>
        </is>
      </c>
      <c r="I12" s="16" t="n">
        <v>2</v>
      </c>
      <c r="J12" s="16" t="n">
        <v>4</v>
      </c>
      <c r="K12" s="4" t="inlineStr">
        <is>
          <t>Langues &amp; communication</t>
        </is>
      </c>
      <c r="L12" s="4" t="inlineStr">
        <is>
          <t>EM|Semestre 1|Techniques de communication écrite et orale</t>
        </is>
      </c>
    </row>
    <row r="13">
      <c r="A13" s="18" t="inlineStr">
        <is>
          <t>EM</t>
        </is>
      </c>
      <c r="B13" s="18" t="inlineStr">
        <is>
          <t>Éducation et Motricité (EM)</t>
        </is>
      </c>
      <c r="C13" s="18" t="inlineStr">
        <is>
          <t>ENSEPS</t>
        </is>
      </c>
      <c r="D13" s="18" t="inlineStr">
        <is>
          <t>Licence</t>
        </is>
      </c>
      <c r="E13" s="18" t="inlineStr">
        <is>
          <t>L1</t>
        </is>
      </c>
      <c r="F13" s="18" t="inlineStr">
        <is>
          <t>Semestre 2</t>
        </is>
      </c>
      <c r="G13" s="18" t="inlineStr">
        <is>
          <t>Sciences de la vie et de la santé</t>
        </is>
      </c>
      <c r="H13" s="18" t="inlineStr">
        <is>
          <t>ECUE 1 : Physiologie neuromusculaire, métabolisme et APS ; ECUE 2 : Physiologie des grandes fonctions</t>
        </is>
      </c>
      <c r="I13" s="17" t="n">
        <v>2</v>
      </c>
      <c r="J13" s="17" t="n">
        <v>6</v>
      </c>
      <c r="K13" s="18" t="inlineStr">
        <is>
          <t>Sciences biomédicales</t>
        </is>
      </c>
      <c r="L13" s="18" t="inlineStr">
        <is>
          <t>EM|Semestre 2|Sciences de la vie et de la santé</t>
        </is>
      </c>
    </row>
    <row r="14">
      <c r="A14" s="4" t="inlineStr">
        <is>
          <t>EM</t>
        </is>
      </c>
      <c r="B14" s="4" t="inlineStr">
        <is>
          <t>Éducation et Motricité (EM)</t>
        </is>
      </c>
      <c r="C14" s="4" t="inlineStr">
        <is>
          <t>ENSEPS</t>
        </is>
      </c>
      <c r="D14" s="4" t="inlineStr">
        <is>
          <t>Licence</t>
        </is>
      </c>
      <c r="E14" s="4" t="inlineStr">
        <is>
          <t>L1</t>
        </is>
      </c>
      <c r="F14" s="4" t="inlineStr">
        <is>
          <t>Semestre 2</t>
        </is>
      </c>
      <c r="G14" s="4" t="inlineStr">
        <is>
          <t>Sciences humaines et sociales 1</t>
        </is>
      </c>
      <c r="H14" s="4" t="inlineStr">
        <is>
          <t>ECUE 1 : Introduction à la sociologie ; ECUE 2 : Sociologie du jeu et des APS</t>
        </is>
      </c>
      <c r="I14" s="16" t="n">
        <v>2</v>
      </c>
      <c r="J14" s="16" t="n">
        <v>4</v>
      </c>
      <c r="K14" s="4" t="inlineStr">
        <is>
          <t>Sciences humaines &amp; sociales</t>
        </is>
      </c>
      <c r="L14" s="4" t="inlineStr">
        <is>
          <t>EM|Semestre 2|Sciences humaines et sociales 1</t>
        </is>
      </c>
    </row>
    <row r="15">
      <c r="A15" s="18" t="inlineStr">
        <is>
          <t>EM</t>
        </is>
      </c>
      <c r="B15" s="18" t="inlineStr">
        <is>
          <t>Éducation et Motricité (EM)</t>
        </is>
      </c>
      <c r="C15" s="18" t="inlineStr">
        <is>
          <t>ENSEPS</t>
        </is>
      </c>
      <c r="D15" s="18" t="inlineStr">
        <is>
          <t>Licence</t>
        </is>
      </c>
      <c r="E15" s="18" t="inlineStr">
        <is>
          <t>L1</t>
        </is>
      </c>
      <c r="F15" s="18" t="inlineStr">
        <is>
          <t>Semestre 2</t>
        </is>
      </c>
      <c r="G15" s="18" t="inlineStr">
        <is>
          <t>Initiation aux fondamentaux du rugby</t>
        </is>
      </c>
      <c r="H15" s="18" t="inlineStr">
        <is>
          <t>Rugby : Fondamentaux</t>
        </is>
      </c>
      <c r="I15" s="17" t="n">
        <v>1</v>
      </c>
      <c r="J15" s="17" t="n">
        <v>3</v>
      </c>
      <c r="K15" s="18" t="inlineStr">
        <is>
          <t>Pratiques sportives (APS)</t>
        </is>
      </c>
      <c r="L15" s="18" t="inlineStr">
        <is>
          <t>EM|Semestre 2|Initiation aux fondamentaux du rugby</t>
        </is>
      </c>
    </row>
    <row r="16">
      <c r="A16" s="4" t="inlineStr">
        <is>
          <t>EM</t>
        </is>
      </c>
      <c r="B16" s="4" t="inlineStr">
        <is>
          <t>Éducation et Motricité (EM)</t>
        </is>
      </c>
      <c r="C16" s="4" t="inlineStr">
        <is>
          <t>ENSEPS</t>
        </is>
      </c>
      <c r="D16" s="4" t="inlineStr">
        <is>
          <t>Licence</t>
        </is>
      </c>
      <c r="E16" s="4" t="inlineStr">
        <is>
          <t>L1</t>
        </is>
      </c>
      <c r="F16" s="4" t="inlineStr">
        <is>
          <t>Semestre 2</t>
        </is>
      </c>
      <c r="G16" s="4" t="inlineStr">
        <is>
          <t>Initiation aux fondamentaux du basketball</t>
        </is>
      </c>
      <c r="H16" s="4" t="inlineStr">
        <is>
          <t>Basketball : Fondamentaux</t>
        </is>
      </c>
      <c r="I16" s="16" t="n">
        <v>1</v>
      </c>
      <c r="J16" s="16" t="n">
        <v>3</v>
      </c>
      <c r="K16" s="4" t="inlineStr">
        <is>
          <t>Pratiques sportives (APS)</t>
        </is>
      </c>
      <c r="L16" s="4" t="inlineStr">
        <is>
          <t>EM|Semestre 2|Initiation aux fondamentaux du basketball</t>
        </is>
      </c>
    </row>
    <row r="17">
      <c r="A17" s="18" t="inlineStr">
        <is>
          <t>EM</t>
        </is>
      </c>
      <c r="B17" s="18" t="inlineStr">
        <is>
          <t>Éducation et Motricité (EM)</t>
        </is>
      </c>
      <c r="C17" s="18" t="inlineStr">
        <is>
          <t>ENSEPS</t>
        </is>
      </c>
      <c r="D17" s="18" t="inlineStr">
        <is>
          <t>Licence</t>
        </is>
      </c>
      <c r="E17" s="18" t="inlineStr">
        <is>
          <t>L1</t>
        </is>
      </c>
      <c r="F17" s="18" t="inlineStr">
        <is>
          <t>Semestre 2</t>
        </is>
      </c>
      <c r="G17" s="18" t="inlineStr">
        <is>
          <t>Initiation aux fondamentaux de la gymnastique II</t>
        </is>
      </c>
      <c r="H17" s="18" t="inlineStr">
        <is>
          <t>Gymnastique 2 : fondamentaux</t>
        </is>
      </c>
      <c r="I17" s="17" t="n">
        <v>1</v>
      </c>
      <c r="J17" s="17" t="n">
        <v>3</v>
      </c>
      <c r="K17" s="18" t="inlineStr">
        <is>
          <t>Pratiques sportives (APS)</t>
        </is>
      </c>
      <c r="L17" s="18" t="inlineStr">
        <is>
          <t>EM|Semestre 2|Initiation aux fondamentaux de la gymnastique II</t>
        </is>
      </c>
    </row>
    <row r="18">
      <c r="A18" s="4" t="inlineStr">
        <is>
          <t>EM</t>
        </is>
      </c>
      <c r="B18" s="4" t="inlineStr">
        <is>
          <t>Éducation et Motricité (EM)</t>
        </is>
      </c>
      <c r="C18" s="4" t="inlineStr">
        <is>
          <t>ENSEPS</t>
        </is>
      </c>
      <c r="D18" s="4" t="inlineStr">
        <is>
          <t>Licence</t>
        </is>
      </c>
      <c r="E18" s="4" t="inlineStr">
        <is>
          <t>L1</t>
        </is>
      </c>
      <c r="F18" s="4" t="inlineStr">
        <is>
          <t>Semestre 2</t>
        </is>
      </c>
      <c r="G18" s="4" t="inlineStr">
        <is>
          <t>Initiation aux fondamentaux de l'athlétisme II</t>
        </is>
      </c>
      <c r="H18" s="4" t="inlineStr">
        <is>
          <t>Fondamentaux des courses de vitesse et des lancers</t>
        </is>
      </c>
      <c r="I18" s="16" t="n">
        <v>1</v>
      </c>
      <c r="J18" s="16" t="n">
        <v>3</v>
      </c>
      <c r="K18" s="4" t="inlineStr">
        <is>
          <t>Pratiques sportives (APS)</t>
        </is>
      </c>
      <c r="L18" s="4" t="inlineStr">
        <is>
          <t>EM|Semestre 2|Initiation aux fondamentaux de l'athlétisme II</t>
        </is>
      </c>
    </row>
    <row r="19">
      <c r="A19" s="18" t="inlineStr">
        <is>
          <t>EM</t>
        </is>
      </c>
      <c r="B19" s="18" t="inlineStr">
        <is>
          <t>Éducation et Motricité (EM)</t>
        </is>
      </c>
      <c r="C19" s="18" t="inlineStr">
        <is>
          <t>ENSEPS</t>
        </is>
      </c>
      <c r="D19" s="18" t="inlineStr">
        <is>
          <t>Licence</t>
        </is>
      </c>
      <c r="E19" s="18" t="inlineStr">
        <is>
          <t>L1</t>
        </is>
      </c>
      <c r="F19" s="18" t="inlineStr">
        <is>
          <t>Semestre 2</t>
        </is>
      </c>
      <c r="G19" s="18" t="inlineStr">
        <is>
          <t>Spécialisation théorique et pratique dans une APS</t>
        </is>
      </c>
      <c r="H19" s="18" t="inlineStr">
        <is>
          <t>APS de spécialité (choix d'un sport de spécialité)</t>
        </is>
      </c>
      <c r="I19" s="17" t="n">
        <v>1</v>
      </c>
      <c r="J19" s="17" t="n">
        <v>3</v>
      </c>
      <c r="K19" s="18" t="inlineStr">
        <is>
          <t>Pratiques sportives (APS)</t>
        </is>
      </c>
      <c r="L19" s="18" t="inlineStr">
        <is>
          <t>EM|Semestre 2|Spécialisation théorique et pratique dans une APS</t>
        </is>
      </c>
    </row>
    <row r="20">
      <c r="A20" s="4" t="inlineStr">
        <is>
          <t>EM</t>
        </is>
      </c>
      <c r="B20" s="4" t="inlineStr">
        <is>
          <t>Éducation et Motricité (EM)</t>
        </is>
      </c>
      <c r="C20" s="4" t="inlineStr">
        <is>
          <t>ENSEPS</t>
        </is>
      </c>
      <c r="D20" s="4" t="inlineStr">
        <is>
          <t>Licence</t>
        </is>
      </c>
      <c r="E20" s="4" t="inlineStr">
        <is>
          <t>L1</t>
        </is>
      </c>
      <c r="F20" s="4" t="inlineStr">
        <is>
          <t>Semestre 2</t>
        </is>
      </c>
      <c r="G20" s="4" t="inlineStr">
        <is>
          <t>Initiation à l'environnement des TIC</t>
        </is>
      </c>
      <c r="H20" s="4" t="inlineStr">
        <is>
          <t>Formation à Microsoft Office Word</t>
        </is>
      </c>
      <c r="I20" s="16" t="n">
        <v>1</v>
      </c>
      <c r="J20" s="16" t="n">
        <v>1</v>
      </c>
      <c r="K20" s="4" t="inlineStr">
        <is>
          <t>TIC / bureautique</t>
        </is>
      </c>
      <c r="L20" s="4" t="inlineStr">
        <is>
          <t>EM|Semestre 2|Initiation à l'environnement des TIC</t>
        </is>
      </c>
    </row>
    <row r="21">
      <c r="A21" s="18" t="inlineStr">
        <is>
          <t>EM</t>
        </is>
      </c>
      <c r="B21" s="18" t="inlineStr">
        <is>
          <t>Éducation et Motricité (EM)</t>
        </is>
      </c>
      <c r="C21" s="18" t="inlineStr">
        <is>
          <t>ENSEPS</t>
        </is>
      </c>
      <c r="D21" s="18" t="inlineStr">
        <is>
          <t>Licence</t>
        </is>
      </c>
      <c r="E21" s="18" t="inlineStr">
        <is>
          <t>L1</t>
        </is>
      </c>
      <c r="F21" s="18" t="inlineStr">
        <is>
          <t>Semestre 2</t>
        </is>
      </c>
      <c r="G21" s="18" t="inlineStr">
        <is>
          <t>Techniques de communication écrite et orale</t>
        </is>
      </c>
      <c r="H21" s="18" t="inlineStr">
        <is>
          <t>ECUE 1 : Anglais : communication orale (People and places) ; ECUE 2 : Français : expression orale et prise de parole en public</t>
        </is>
      </c>
      <c r="I21" s="17" t="n">
        <v>2</v>
      </c>
      <c r="J21" s="17" t="n">
        <v>4</v>
      </c>
      <c r="K21" s="18" t="inlineStr">
        <is>
          <t>Langues &amp; communication</t>
        </is>
      </c>
      <c r="L21" s="18" t="inlineStr">
        <is>
          <t>EM|Semestre 2|Techniques de communication écrite et orale</t>
        </is>
      </c>
    </row>
    <row r="22">
      <c r="A22" s="4" t="inlineStr">
        <is>
          <t>EM</t>
        </is>
      </c>
      <c r="B22" s="4" t="inlineStr">
        <is>
          <t>Éducation et Motricité (EM)</t>
        </is>
      </c>
      <c r="C22" s="4" t="inlineStr">
        <is>
          <t>ENSEPS</t>
        </is>
      </c>
      <c r="D22" s="4" t="inlineStr">
        <is>
          <t>Licence</t>
        </is>
      </c>
      <c r="E22" s="4" t="inlineStr">
        <is>
          <t>L2</t>
        </is>
      </c>
      <c r="F22" s="4" t="inlineStr">
        <is>
          <t>Semestre 3</t>
        </is>
      </c>
      <c r="G22" s="4" t="inlineStr">
        <is>
          <t>Sciences de la vie et de la santé</t>
        </is>
      </c>
      <c r="H22" s="4" t="inlineStr">
        <is>
          <t>ECUE 1 : Nutrition et APS ; ECUE 2 : Biomécanique du geste</t>
        </is>
      </c>
      <c r="I22" s="16" t="n">
        <v>2</v>
      </c>
      <c r="J22" s="16" t="n">
        <v>4</v>
      </c>
      <c r="K22" s="4" t="inlineStr">
        <is>
          <t>Sciences biomédicales</t>
        </is>
      </c>
      <c r="L22" s="4" t="inlineStr">
        <is>
          <t>EM|Semestre 3|Sciences de la vie et de la santé</t>
        </is>
      </c>
    </row>
    <row r="23">
      <c r="A23" s="18" t="inlineStr">
        <is>
          <t>EM</t>
        </is>
      </c>
      <c r="B23" s="18" t="inlineStr">
        <is>
          <t>Éducation et Motricité (EM)</t>
        </is>
      </c>
      <c r="C23" s="18" t="inlineStr">
        <is>
          <t>ENSEPS</t>
        </is>
      </c>
      <c r="D23" s="18" t="inlineStr">
        <is>
          <t>Licence</t>
        </is>
      </c>
      <c r="E23" s="18" t="inlineStr">
        <is>
          <t>L2</t>
        </is>
      </c>
      <c r="F23" s="18" t="inlineStr">
        <is>
          <t>Semestre 3</t>
        </is>
      </c>
      <c r="G23" s="18" t="inlineStr">
        <is>
          <t>Sciences humaines et sociales appliquées aux APS</t>
        </is>
      </c>
      <c r="H23" s="18" t="inlineStr">
        <is>
          <t>Histoire du sport : naissance et développement du sport moderne</t>
        </is>
      </c>
      <c r="I23" s="17" t="n">
        <v>1</v>
      </c>
      <c r="J23" s="17" t="n">
        <v>2</v>
      </c>
      <c r="K23" s="18" t="inlineStr">
        <is>
          <t>Sciences humaines &amp; sociales</t>
        </is>
      </c>
      <c r="L23" s="18" t="inlineStr">
        <is>
          <t>EM|Semestre 3|Sciences humaines et sociales appliquées aux APS</t>
        </is>
      </c>
    </row>
    <row r="24">
      <c r="A24" s="4" t="inlineStr">
        <is>
          <t>EM</t>
        </is>
      </c>
      <c r="B24" s="4" t="inlineStr">
        <is>
          <t>Éducation et Motricité (EM)</t>
        </is>
      </c>
      <c r="C24" s="4" t="inlineStr">
        <is>
          <t>ENSEPS</t>
        </is>
      </c>
      <c r="D24" s="4" t="inlineStr">
        <is>
          <t>Licence</t>
        </is>
      </c>
      <c r="E24" s="4" t="inlineStr">
        <is>
          <t>L2</t>
        </is>
      </c>
      <c r="F24" s="4" t="inlineStr">
        <is>
          <t>Semestre 3</t>
        </is>
      </c>
      <c r="G24" s="4" t="inlineStr">
        <is>
          <t>Connaissances institutionnelles du sport</t>
        </is>
      </c>
      <c r="H24" s="4" t="inlineStr">
        <is>
          <t>Connaissances institutionnelles et législatives de l'organisation du sport</t>
        </is>
      </c>
      <c r="I24" s="16" t="n">
        <v>1</v>
      </c>
      <c r="J24" s="16" t="n">
        <v>2</v>
      </c>
      <c r="K24" s="4" t="inlineStr">
        <is>
          <t>Sciences humaines &amp; sociales</t>
        </is>
      </c>
      <c r="L24" s="4" t="inlineStr">
        <is>
          <t>EM|Semestre 3|Connaissances institutionnelles du sport</t>
        </is>
      </c>
    </row>
    <row r="25">
      <c r="A25" s="18" t="inlineStr">
        <is>
          <t>EM</t>
        </is>
      </c>
      <c r="B25" s="18" t="inlineStr">
        <is>
          <t>Éducation et Motricité (EM)</t>
        </is>
      </c>
      <c r="C25" s="18" t="inlineStr">
        <is>
          <t>ENSEPS</t>
        </is>
      </c>
      <c r="D25" s="18" t="inlineStr">
        <is>
          <t>Licence</t>
        </is>
      </c>
      <c r="E25" s="18" t="inlineStr">
        <is>
          <t>L2</t>
        </is>
      </c>
      <c r="F25" s="18" t="inlineStr">
        <is>
          <t>Semestre 3</t>
        </is>
      </c>
      <c r="G25" s="18" t="inlineStr">
        <is>
          <t>Initiation aux fondamentaux du volleyball</t>
        </is>
      </c>
      <c r="H25" s="18" t="inlineStr">
        <is>
          <t>Volleyball : Fondamentaux</t>
        </is>
      </c>
      <c r="I25" s="17" t="n">
        <v>1</v>
      </c>
      <c r="J25" s="17" t="n">
        <v>3</v>
      </c>
      <c r="K25" s="18" t="inlineStr">
        <is>
          <t>Pratiques sportives (APS)</t>
        </is>
      </c>
      <c r="L25" s="18" t="inlineStr">
        <is>
          <t>EM|Semestre 3|Initiation aux fondamentaux du volleyball</t>
        </is>
      </c>
    </row>
    <row r="26">
      <c r="A26" s="4" t="inlineStr">
        <is>
          <t>EM</t>
        </is>
      </c>
      <c r="B26" s="4" t="inlineStr">
        <is>
          <t>Éducation et Motricité (EM)</t>
        </is>
      </c>
      <c r="C26" s="4" t="inlineStr">
        <is>
          <t>ENSEPS</t>
        </is>
      </c>
      <c r="D26" s="4" t="inlineStr">
        <is>
          <t>Licence</t>
        </is>
      </c>
      <c r="E26" s="4" t="inlineStr">
        <is>
          <t>L2</t>
        </is>
      </c>
      <c r="F26" s="4" t="inlineStr">
        <is>
          <t>Semestre 3</t>
        </is>
      </c>
      <c r="G26" s="4" t="inlineStr">
        <is>
          <t>Initiation aux sports de combat de préhension</t>
        </is>
      </c>
      <c r="H26" s="4" t="inlineStr">
        <is>
          <t>Judo : Fondamentaux ; Lutte : Fondamentaux</t>
        </is>
      </c>
      <c r="I26" s="16" t="n">
        <v>1</v>
      </c>
      <c r="J26" s="16" t="n">
        <v>2</v>
      </c>
      <c r="K26" s="4" t="inlineStr">
        <is>
          <t>Pratiques sportives (APS)</t>
        </is>
      </c>
      <c r="L26" s="4" t="inlineStr">
        <is>
          <t>EM|Semestre 3|Initiation aux sports de combat de préhension</t>
        </is>
      </c>
    </row>
    <row r="27">
      <c r="A27" s="18" t="inlineStr">
        <is>
          <t>EM</t>
        </is>
      </c>
      <c r="B27" s="18" t="inlineStr">
        <is>
          <t>Éducation et Motricité (EM)</t>
        </is>
      </c>
      <c r="C27" s="18" t="inlineStr">
        <is>
          <t>ENSEPS</t>
        </is>
      </c>
      <c r="D27" s="18" t="inlineStr">
        <is>
          <t>Licence</t>
        </is>
      </c>
      <c r="E27" s="18" t="inlineStr">
        <is>
          <t>L2</t>
        </is>
      </c>
      <c r="F27" s="18" t="inlineStr">
        <is>
          <t>Semestre 3</t>
        </is>
      </c>
      <c r="G27" s="18" t="inlineStr">
        <is>
          <t>Initiation aux sports de combat de percussion</t>
        </is>
      </c>
      <c r="H27" s="18" t="inlineStr">
        <is>
          <t>Boxe : Fondamentaux ; Taekwondo : Fondamentaux</t>
        </is>
      </c>
      <c r="I27" s="17" t="n">
        <v>1</v>
      </c>
      <c r="J27" s="17" t="n">
        <v>2</v>
      </c>
      <c r="K27" s="18" t="inlineStr">
        <is>
          <t>Pratiques sportives (APS)</t>
        </is>
      </c>
      <c r="L27" s="18" t="inlineStr">
        <is>
          <t>EM|Semestre 3|Initiation aux sports de combat de percussion</t>
        </is>
      </c>
    </row>
    <row r="28">
      <c r="A28" s="4" t="inlineStr">
        <is>
          <t>EM</t>
        </is>
      </c>
      <c r="B28" s="4" t="inlineStr">
        <is>
          <t>Éducation et Motricité (EM)</t>
        </is>
      </c>
      <c r="C28" s="4" t="inlineStr">
        <is>
          <t>ENSEPS</t>
        </is>
      </c>
      <c r="D28" s="4" t="inlineStr">
        <is>
          <t>Licence</t>
        </is>
      </c>
      <c r="E28" s="4" t="inlineStr">
        <is>
          <t>L2</t>
        </is>
      </c>
      <c r="F28" s="4" t="inlineStr">
        <is>
          <t>Semestre 3</t>
        </is>
      </c>
      <c r="G28" s="4" t="inlineStr">
        <is>
          <t>Initiation aux sports d'entretien et santé</t>
        </is>
      </c>
      <c r="H28" s="4" t="inlineStr">
        <is>
          <t>Fitness et Conditionnement physique</t>
        </is>
      </c>
      <c r="I28" s="16" t="n">
        <v>1</v>
      </c>
      <c r="J28" s="16" t="n">
        <v>2</v>
      </c>
      <c r="K28" s="4" t="inlineStr">
        <is>
          <t>Pratiques sportives (APS)</t>
        </is>
      </c>
      <c r="L28" s="4" t="inlineStr">
        <is>
          <t>EM|Semestre 3|Initiation aux sports d'entretien et santé</t>
        </is>
      </c>
    </row>
    <row r="29">
      <c r="A29" s="18" t="inlineStr">
        <is>
          <t>EM</t>
        </is>
      </c>
      <c r="B29" s="18" t="inlineStr">
        <is>
          <t>Éducation et Motricité (EM)</t>
        </is>
      </c>
      <c r="C29" s="18" t="inlineStr">
        <is>
          <t>ENSEPS</t>
        </is>
      </c>
      <c r="D29" s="18" t="inlineStr">
        <is>
          <t>Licence</t>
        </is>
      </c>
      <c r="E29" s="18" t="inlineStr">
        <is>
          <t>L2</t>
        </is>
      </c>
      <c r="F29" s="18" t="inlineStr">
        <is>
          <t>Semestre 3</t>
        </is>
      </c>
      <c r="G29" s="18" t="inlineStr">
        <is>
          <t>Matérialisation des plateaux de pratique des APS et performance</t>
        </is>
      </c>
      <c r="H29" s="18" t="inlineStr">
        <is>
          <t>Techniques de traçage des aires de pratique sportive et utilisation des instruments de mesure de la performance</t>
        </is>
      </c>
      <c r="I29" s="17" t="n">
        <v>1</v>
      </c>
      <c r="J29" s="17" t="n">
        <v>3</v>
      </c>
      <c r="K29" s="18" t="inlineStr">
        <is>
          <t>Pratiques sportives (APS)</t>
        </is>
      </c>
      <c r="L29" s="18" t="inlineStr">
        <is>
          <t>EM|Semestre 3|Matérialisation des plateaux de pratique des APS et performance</t>
        </is>
      </c>
    </row>
    <row r="30">
      <c r="A30" s="4" t="inlineStr">
        <is>
          <t>EM</t>
        </is>
      </c>
      <c r="B30" s="4" t="inlineStr">
        <is>
          <t>Éducation et Motricité (EM)</t>
        </is>
      </c>
      <c r="C30" s="4" t="inlineStr">
        <is>
          <t>ENSEPS</t>
        </is>
      </c>
      <c r="D30" s="4" t="inlineStr">
        <is>
          <t>Licence</t>
        </is>
      </c>
      <c r="E30" s="4" t="inlineStr">
        <is>
          <t>L2</t>
        </is>
      </c>
      <c r="F30" s="4" t="inlineStr">
        <is>
          <t>Semestre 3</t>
        </is>
      </c>
      <c r="G30" s="4" t="inlineStr">
        <is>
          <t>Spécialisation théorique et pratique dans une APS</t>
        </is>
      </c>
      <c r="H30" s="4" t="inlineStr">
        <is>
          <t>APS de spécialité (choix d'un sport de spécialité)</t>
        </is>
      </c>
      <c r="I30" s="16" t="n">
        <v>1</v>
      </c>
      <c r="J30" s="16" t="n">
        <v>3</v>
      </c>
      <c r="K30" s="4" t="inlineStr">
        <is>
          <t>Pratiques sportives (APS)</t>
        </is>
      </c>
      <c r="L30" s="4" t="inlineStr">
        <is>
          <t>EM|Semestre 3|Spécialisation théorique et pratique dans une APS</t>
        </is>
      </c>
    </row>
    <row r="31">
      <c r="A31" s="18" t="inlineStr">
        <is>
          <t>EM</t>
        </is>
      </c>
      <c r="B31" s="18" t="inlineStr">
        <is>
          <t>Éducation et Motricité (EM)</t>
        </is>
      </c>
      <c r="C31" s="18" t="inlineStr">
        <is>
          <t>ENSEPS</t>
        </is>
      </c>
      <c r="D31" s="18" t="inlineStr">
        <is>
          <t>Licence</t>
        </is>
      </c>
      <c r="E31" s="18" t="inlineStr">
        <is>
          <t>L2</t>
        </is>
      </c>
      <c r="F31" s="18" t="inlineStr">
        <is>
          <t>Semestre 3</t>
        </is>
      </c>
      <c r="G31" s="18" t="inlineStr">
        <is>
          <t>Pré-professionnalisation</t>
        </is>
      </c>
      <c r="H31" s="18" t="inlineStr">
        <is>
          <t>Stage pédagogique au primaire : animation sportive 1re étape</t>
        </is>
      </c>
      <c r="I31" s="17" t="n">
        <v>1</v>
      </c>
      <c r="J31" s="17" t="n">
        <v>3</v>
      </c>
      <c r="K31" s="18" t="inlineStr">
        <is>
          <t>Professionnalisation / stages</t>
        </is>
      </c>
      <c r="L31" s="18" t="inlineStr">
        <is>
          <t>EM|Semestre 3|Pré-professionnalisation</t>
        </is>
      </c>
    </row>
    <row r="32">
      <c r="A32" s="4" t="inlineStr">
        <is>
          <t>EM</t>
        </is>
      </c>
      <c r="B32" s="4" t="inlineStr">
        <is>
          <t>Éducation et Motricité (EM)</t>
        </is>
      </c>
      <c r="C32" s="4" t="inlineStr">
        <is>
          <t>ENSEPS</t>
        </is>
      </c>
      <c r="D32" s="4" t="inlineStr">
        <is>
          <t>Licence</t>
        </is>
      </c>
      <c r="E32" s="4" t="inlineStr">
        <is>
          <t>L2</t>
        </is>
      </c>
      <c r="F32" s="4" t="inlineStr">
        <is>
          <t>Semestre 3</t>
        </is>
      </c>
      <c r="G32" s="4" t="inlineStr">
        <is>
          <t>Techniques d'expression écrite et orale</t>
        </is>
      </c>
      <c r="H32" s="4" t="inlineStr">
        <is>
          <t>ECUE 1 : Anglais : communication orale (People and places : sport) ; ECUE 2 : Français : expression orale et prise de parole en public</t>
        </is>
      </c>
      <c r="I32" s="16" t="n">
        <v>2</v>
      </c>
      <c r="J32" s="16" t="n">
        <v>4</v>
      </c>
      <c r="K32" s="4" t="inlineStr">
        <is>
          <t>Langues &amp; communication</t>
        </is>
      </c>
      <c r="L32" s="4" t="inlineStr">
        <is>
          <t>EM|Semestre 3|Techniques d'expression écrite et orale</t>
        </is>
      </c>
    </row>
    <row r="33">
      <c r="A33" s="18" t="inlineStr">
        <is>
          <t>EM</t>
        </is>
      </c>
      <c r="B33" s="18" t="inlineStr">
        <is>
          <t>Éducation et Motricité (EM)</t>
        </is>
      </c>
      <c r="C33" s="18" t="inlineStr">
        <is>
          <t>ENSEPS</t>
        </is>
      </c>
      <c r="D33" s="18" t="inlineStr">
        <is>
          <t>Licence</t>
        </is>
      </c>
      <c r="E33" s="18" t="inlineStr">
        <is>
          <t>L2</t>
        </is>
      </c>
      <c r="F33" s="18" t="inlineStr">
        <is>
          <t>Semestre 4</t>
        </is>
      </c>
      <c r="G33" s="18" t="inlineStr">
        <is>
          <t>Connaissances institutionnelles des systèmes éducatifs</t>
        </is>
      </c>
      <c r="H33" s="18" t="inlineStr">
        <is>
          <t>ECUE 1 : Structure et fonctionnement du système éducatif ivoirien ; ECUE 2 : Histoire de l'EPS : courants pédagogiques</t>
        </is>
      </c>
      <c r="I33" s="17" t="n">
        <v>2</v>
      </c>
      <c r="J33" s="17" t="n">
        <v>4</v>
      </c>
      <c r="K33" s="18" t="inlineStr">
        <is>
          <t>EPS / didactique-pédagogie</t>
        </is>
      </c>
      <c r="L33" s="18" t="inlineStr">
        <is>
          <t>EM|Semestre 4|Connaissances institutionnelles des systèmes éducatifs</t>
        </is>
      </c>
    </row>
    <row r="34">
      <c r="A34" s="4" t="inlineStr">
        <is>
          <t>EM</t>
        </is>
      </c>
      <c r="B34" s="4" t="inlineStr">
        <is>
          <t>Éducation et Motricité (EM)</t>
        </is>
      </c>
      <c r="C34" s="4" t="inlineStr">
        <is>
          <t>ENSEPS</t>
        </is>
      </c>
      <c r="D34" s="4" t="inlineStr">
        <is>
          <t>Licence</t>
        </is>
      </c>
      <c r="E34" s="4" t="inlineStr">
        <is>
          <t>L2</t>
        </is>
      </c>
      <c r="F34" s="4" t="inlineStr">
        <is>
          <t>Semestre 4</t>
        </is>
      </c>
      <c r="G34" s="4" t="inlineStr">
        <is>
          <t>Intervention en APS</t>
        </is>
      </c>
      <c r="H34" s="4" t="inlineStr">
        <is>
          <t>ECUE 1 : Apprentissages moteurs ; ECUE 2 : Conception et planification de séance en animation sportive au primaire</t>
        </is>
      </c>
      <c r="I34" s="16" t="n">
        <v>2</v>
      </c>
      <c r="J34" s="16" t="n">
        <v>4</v>
      </c>
      <c r="K34" s="4" t="inlineStr">
        <is>
          <t>EPS / didactique-pédagogie</t>
        </is>
      </c>
      <c r="L34" s="4" t="inlineStr">
        <is>
          <t>EM|Semestre 4|Intervention en APS</t>
        </is>
      </c>
    </row>
    <row r="35">
      <c r="A35" s="18" t="inlineStr">
        <is>
          <t>EM</t>
        </is>
      </c>
      <c r="B35" s="18" t="inlineStr">
        <is>
          <t>Éducation et Motricité (EM)</t>
        </is>
      </c>
      <c r="C35" s="18" t="inlineStr">
        <is>
          <t>ENSEPS</t>
        </is>
      </c>
      <c r="D35" s="18" t="inlineStr">
        <is>
          <t>Licence</t>
        </is>
      </c>
      <c r="E35" s="18" t="inlineStr">
        <is>
          <t>L2</t>
        </is>
      </c>
      <c r="F35" s="18" t="inlineStr">
        <is>
          <t>Semestre 4</t>
        </is>
      </c>
      <c r="G35" s="18" t="inlineStr">
        <is>
          <t>Aspects pédagogiques du football</t>
        </is>
      </c>
      <c r="H35" s="18" t="inlineStr">
        <is>
          <t>Pédagogie du football : familiarisation et initiation</t>
        </is>
      </c>
      <c r="I35" s="17" t="n">
        <v>1</v>
      </c>
      <c r="J35" s="17" t="n">
        <v>3</v>
      </c>
      <c r="K35" s="18" t="inlineStr">
        <is>
          <t>EPS / didactique-pédagogie</t>
        </is>
      </c>
      <c r="L35" s="18" t="inlineStr">
        <is>
          <t>EM|Semestre 4|Aspects pédagogiques du football</t>
        </is>
      </c>
    </row>
    <row r="36">
      <c r="A36" s="4" t="inlineStr">
        <is>
          <t>EM</t>
        </is>
      </c>
      <c r="B36" s="4" t="inlineStr">
        <is>
          <t>Éducation et Motricité (EM)</t>
        </is>
      </c>
      <c r="C36" s="4" t="inlineStr">
        <is>
          <t>ENSEPS</t>
        </is>
      </c>
      <c r="D36" s="4" t="inlineStr">
        <is>
          <t>Licence</t>
        </is>
      </c>
      <c r="E36" s="4" t="inlineStr">
        <is>
          <t>L2</t>
        </is>
      </c>
      <c r="F36" s="4" t="inlineStr">
        <is>
          <t>Semestre 4</t>
        </is>
      </c>
      <c r="G36" s="4" t="inlineStr">
        <is>
          <t>Aspects pédagogiques du handball</t>
        </is>
      </c>
      <c r="H36" s="4" t="inlineStr">
        <is>
          <t>Pédagogie du handball : familiarisation et initiation</t>
        </is>
      </c>
      <c r="I36" s="16" t="n">
        <v>1</v>
      </c>
      <c r="J36" s="16" t="n">
        <v>3</v>
      </c>
      <c r="K36" s="4" t="inlineStr">
        <is>
          <t>EPS / didactique-pédagogie</t>
        </is>
      </c>
      <c r="L36" s="4" t="inlineStr">
        <is>
          <t>EM|Semestre 4|Aspects pédagogiques du handball</t>
        </is>
      </c>
    </row>
    <row r="37">
      <c r="A37" s="18" t="inlineStr">
        <is>
          <t>EM</t>
        </is>
      </c>
      <c r="B37" s="18" t="inlineStr">
        <is>
          <t>Éducation et Motricité (EM)</t>
        </is>
      </c>
      <c r="C37" s="18" t="inlineStr">
        <is>
          <t>ENSEPS</t>
        </is>
      </c>
      <c r="D37" s="18" t="inlineStr">
        <is>
          <t>Licence</t>
        </is>
      </c>
      <c r="E37" s="18" t="inlineStr">
        <is>
          <t>L2</t>
        </is>
      </c>
      <c r="F37" s="18" t="inlineStr">
        <is>
          <t>Semestre 4</t>
        </is>
      </c>
      <c r="G37" s="18" t="inlineStr">
        <is>
          <t>Aspects pédagogiques des sports d'expression corporelle</t>
        </is>
      </c>
      <c r="H37" s="18" t="inlineStr">
        <is>
          <t>Pédagogie de la gymnastique : familiarisation et initiation</t>
        </is>
      </c>
      <c r="I37" s="17" t="n">
        <v>1</v>
      </c>
      <c r="J37" s="17" t="n">
        <v>3</v>
      </c>
      <c r="K37" s="18" t="inlineStr">
        <is>
          <t>Langues &amp; communication</t>
        </is>
      </c>
      <c r="L37" s="18" t="inlineStr">
        <is>
          <t>EM|Semestre 4|Aspects pédagogiques des sports d'expression corporelle</t>
        </is>
      </c>
    </row>
    <row r="38">
      <c r="A38" s="4" t="inlineStr">
        <is>
          <t>EM</t>
        </is>
      </c>
      <c r="B38" s="4" t="inlineStr">
        <is>
          <t>Éducation et Motricité (EM)</t>
        </is>
      </c>
      <c r="C38" s="4" t="inlineStr">
        <is>
          <t>ENSEPS</t>
        </is>
      </c>
      <c r="D38" s="4" t="inlineStr">
        <is>
          <t>Licence</t>
        </is>
      </c>
      <c r="E38" s="4" t="inlineStr">
        <is>
          <t>L2</t>
        </is>
      </c>
      <c r="F38" s="4" t="inlineStr">
        <is>
          <t>Semestre 4</t>
        </is>
      </c>
      <c r="G38" s="4" t="inlineStr">
        <is>
          <t>Aspects pédagogiques de l'athlétisme</t>
        </is>
      </c>
      <c r="H38" s="4" t="inlineStr">
        <is>
          <t>Pédagogie de l'athlétisme : familiarisation et initiation</t>
        </is>
      </c>
      <c r="I38" s="16" t="n">
        <v>1</v>
      </c>
      <c r="J38" s="16" t="n">
        <v>3</v>
      </c>
      <c r="K38" s="4" t="inlineStr">
        <is>
          <t>EPS / didactique-pédagogie</t>
        </is>
      </c>
      <c r="L38" s="4" t="inlineStr">
        <is>
          <t>EM|Semestre 4|Aspects pédagogiques de l'athlétisme</t>
        </is>
      </c>
    </row>
    <row r="39">
      <c r="A39" s="18" t="inlineStr">
        <is>
          <t>EM</t>
        </is>
      </c>
      <c r="B39" s="18" t="inlineStr">
        <is>
          <t>Éducation et Motricité (EM)</t>
        </is>
      </c>
      <c r="C39" s="18" t="inlineStr">
        <is>
          <t>ENSEPS</t>
        </is>
      </c>
      <c r="D39" s="18" t="inlineStr">
        <is>
          <t>Licence</t>
        </is>
      </c>
      <c r="E39" s="18" t="inlineStr">
        <is>
          <t>L2</t>
        </is>
      </c>
      <c r="F39" s="18" t="inlineStr">
        <is>
          <t>Semestre 4</t>
        </is>
      </c>
      <c r="G39" s="18" t="inlineStr">
        <is>
          <t>Spécialisation théorique et pratique dans une APS</t>
        </is>
      </c>
      <c r="H39" s="18" t="inlineStr">
        <is>
          <t>APS de spécialité</t>
        </is>
      </c>
      <c r="I39" s="17" t="n">
        <v>1</v>
      </c>
      <c r="J39" s="17" t="n">
        <v>2</v>
      </c>
      <c r="K39" s="18" t="inlineStr">
        <is>
          <t>Pratiques sportives (APS)</t>
        </is>
      </c>
      <c r="L39" s="18" t="inlineStr">
        <is>
          <t>EM|Semestre 4|Spécialisation théorique et pratique dans une APS</t>
        </is>
      </c>
    </row>
    <row r="40">
      <c r="A40" s="4" t="inlineStr">
        <is>
          <t>EM</t>
        </is>
      </c>
      <c r="B40" s="4" t="inlineStr">
        <is>
          <t>Éducation et Motricité (EM)</t>
        </is>
      </c>
      <c r="C40" s="4" t="inlineStr">
        <is>
          <t>ENSEPS</t>
        </is>
      </c>
      <c r="D40" s="4" t="inlineStr">
        <is>
          <t>Licence</t>
        </is>
      </c>
      <c r="E40" s="4" t="inlineStr">
        <is>
          <t>L2</t>
        </is>
      </c>
      <c r="F40" s="4" t="inlineStr">
        <is>
          <t>Semestre 4</t>
        </is>
      </c>
      <c r="G40" s="4" t="inlineStr">
        <is>
          <t>Pré-professionnalisation</t>
        </is>
      </c>
      <c r="H40" s="4" t="inlineStr">
        <is>
          <t>Stage pédagogique au primaire : animation sportive 2e étape</t>
        </is>
      </c>
      <c r="I40" s="16" t="n">
        <v>1</v>
      </c>
      <c r="J40" s="16" t="n">
        <v>3</v>
      </c>
      <c r="K40" s="4" t="inlineStr">
        <is>
          <t>Professionnalisation / stages</t>
        </is>
      </c>
      <c r="L40" s="4" t="inlineStr">
        <is>
          <t>EM|Semestre 4|Pré-professionnalisation</t>
        </is>
      </c>
    </row>
    <row r="41">
      <c r="A41" s="18" t="inlineStr">
        <is>
          <t>EM</t>
        </is>
      </c>
      <c r="B41" s="18" t="inlineStr">
        <is>
          <t>Éducation et Motricité (EM)</t>
        </is>
      </c>
      <c r="C41" s="18" t="inlineStr">
        <is>
          <t>ENSEPS</t>
        </is>
      </c>
      <c r="D41" s="18" t="inlineStr">
        <is>
          <t>Licence</t>
        </is>
      </c>
      <c r="E41" s="18" t="inlineStr">
        <is>
          <t>L2</t>
        </is>
      </c>
      <c r="F41" s="18" t="inlineStr">
        <is>
          <t>Semestre 4</t>
        </is>
      </c>
      <c r="G41" s="18" t="inlineStr">
        <is>
          <t>Méthodologie et outils</t>
        </is>
      </c>
      <c r="H41" s="18" t="inlineStr">
        <is>
          <t>Introduction à la méthodologie de la recherche scientifique : projet de recherche</t>
        </is>
      </c>
      <c r="I41" s="17" t="n">
        <v>1</v>
      </c>
      <c r="J41" s="17" t="n">
        <v>3</v>
      </c>
      <c r="K41" s="18" t="inlineStr">
        <is>
          <t>Recherche &amp; méthodologie</t>
        </is>
      </c>
      <c r="L41" s="18" t="inlineStr">
        <is>
          <t>EM|Semestre 4|Méthodologie et outils</t>
        </is>
      </c>
    </row>
    <row r="42">
      <c r="A42" s="4" t="inlineStr">
        <is>
          <t>EM</t>
        </is>
      </c>
      <c r="B42" s="4" t="inlineStr">
        <is>
          <t>Éducation et Motricité (EM)</t>
        </is>
      </c>
      <c r="C42" s="4" t="inlineStr">
        <is>
          <t>ENSEPS</t>
        </is>
      </c>
      <c r="D42" s="4" t="inlineStr">
        <is>
          <t>Licence</t>
        </is>
      </c>
      <c r="E42" s="4" t="inlineStr">
        <is>
          <t>L2</t>
        </is>
      </c>
      <c r="F42" s="4" t="inlineStr">
        <is>
          <t>Semestre 4</t>
        </is>
      </c>
      <c r="G42" s="4" t="inlineStr">
        <is>
          <t>Techniques d'expression écrite et orale</t>
        </is>
      </c>
      <c r="H42" s="4" t="inlineStr">
        <is>
          <t>Anglais : communication orale (People and places : sport) 2</t>
        </is>
      </c>
      <c r="I42" s="16" t="n">
        <v>1</v>
      </c>
      <c r="J42" s="16" t="n">
        <v>2</v>
      </c>
      <c r="K42" s="4" t="inlineStr">
        <is>
          <t>Langues &amp; communication</t>
        </is>
      </c>
      <c r="L42" s="4" t="inlineStr">
        <is>
          <t>EM|Semestre 4|Techniques d'expression écrite et orale</t>
        </is>
      </c>
    </row>
    <row r="43">
      <c r="A43" s="18" t="inlineStr">
        <is>
          <t>EM</t>
        </is>
      </c>
      <c r="B43" s="18" t="inlineStr">
        <is>
          <t>Éducation et Motricité (EM)</t>
        </is>
      </c>
      <c r="C43" s="18" t="inlineStr">
        <is>
          <t>ENSEPS</t>
        </is>
      </c>
      <c r="D43" s="18" t="inlineStr">
        <is>
          <t>Licence</t>
        </is>
      </c>
      <c r="E43" s="18" t="inlineStr">
        <is>
          <t>L3</t>
        </is>
      </c>
      <c r="F43" s="18" t="inlineStr">
        <is>
          <t>Semestre 5</t>
        </is>
      </c>
      <c r="G43" s="18" t="inlineStr">
        <is>
          <t>Intervention en APS</t>
        </is>
      </c>
      <c r="H43" s="18" t="inlineStr">
        <is>
          <t>Conception et planification de l'enseignement de l'EPS au secondaire</t>
        </is>
      </c>
      <c r="I43" s="17" t="n">
        <v>1</v>
      </c>
      <c r="J43" s="17" t="n">
        <v>3</v>
      </c>
      <c r="K43" s="18" t="inlineStr">
        <is>
          <t>EPS / didactique-pédagogie</t>
        </is>
      </c>
      <c r="L43" s="18" t="inlineStr">
        <is>
          <t>EM|Semestre 5|Intervention en APS</t>
        </is>
      </c>
    </row>
    <row r="44">
      <c r="A44" s="4" t="inlineStr">
        <is>
          <t>EM</t>
        </is>
      </c>
      <c r="B44" s="4" t="inlineStr">
        <is>
          <t>Éducation et Motricité (EM)</t>
        </is>
      </c>
      <c r="C44" s="4" t="inlineStr">
        <is>
          <t>ENSEPS</t>
        </is>
      </c>
      <c r="D44" s="4" t="inlineStr">
        <is>
          <t>Licence</t>
        </is>
      </c>
      <c r="E44" s="4" t="inlineStr">
        <is>
          <t>L3</t>
        </is>
      </c>
      <c r="F44" s="4" t="inlineStr">
        <is>
          <t>Semestre 5</t>
        </is>
      </c>
      <c r="G44" s="4" t="inlineStr">
        <is>
          <t>Aspects pédagogiques du handball</t>
        </is>
      </c>
      <c r="H44" s="4" t="inlineStr">
        <is>
          <t>Pédagogie du handball : familiarisation et initiation</t>
        </is>
      </c>
      <c r="I44" s="16" t="n">
        <v>1</v>
      </c>
      <c r="J44" s="16" t="n">
        <v>3</v>
      </c>
      <c r="K44" s="4" t="inlineStr">
        <is>
          <t>EPS / didactique-pédagogie</t>
        </is>
      </c>
      <c r="L44" s="4" t="inlineStr">
        <is>
          <t>EM|Semestre 5|Aspects pédagogiques du handball</t>
        </is>
      </c>
    </row>
    <row r="45">
      <c r="A45" s="18" t="inlineStr">
        <is>
          <t>EM</t>
        </is>
      </c>
      <c r="B45" s="18" t="inlineStr">
        <is>
          <t>Éducation et Motricité (EM)</t>
        </is>
      </c>
      <c r="C45" s="18" t="inlineStr">
        <is>
          <t>ENSEPS</t>
        </is>
      </c>
      <c r="D45" s="18" t="inlineStr">
        <is>
          <t>Licence</t>
        </is>
      </c>
      <c r="E45" s="18" t="inlineStr">
        <is>
          <t>L3</t>
        </is>
      </c>
      <c r="F45" s="18" t="inlineStr">
        <is>
          <t>Semestre 5</t>
        </is>
      </c>
      <c r="G45" s="18" t="inlineStr">
        <is>
          <t>Aspects pédagogiques du basketball</t>
        </is>
      </c>
      <c r="H45" s="18" t="inlineStr">
        <is>
          <t>Pédagogie du basketball : familiarisation et initiation</t>
        </is>
      </c>
      <c r="I45" s="17" t="n">
        <v>1</v>
      </c>
      <c r="J45" s="17" t="n">
        <v>3</v>
      </c>
      <c r="K45" s="18" t="inlineStr">
        <is>
          <t>EPS / didactique-pédagogie</t>
        </is>
      </c>
      <c r="L45" s="18" t="inlineStr">
        <is>
          <t>EM|Semestre 5|Aspects pédagogiques du basketball</t>
        </is>
      </c>
    </row>
    <row r="46">
      <c r="A46" s="4" t="inlineStr">
        <is>
          <t>EM</t>
        </is>
      </c>
      <c r="B46" s="4" t="inlineStr">
        <is>
          <t>Éducation et Motricité (EM)</t>
        </is>
      </c>
      <c r="C46" s="4" t="inlineStr">
        <is>
          <t>ENSEPS</t>
        </is>
      </c>
      <c r="D46" s="4" t="inlineStr">
        <is>
          <t>Licence</t>
        </is>
      </c>
      <c r="E46" s="4" t="inlineStr">
        <is>
          <t>L3</t>
        </is>
      </c>
      <c r="F46" s="4" t="inlineStr">
        <is>
          <t>Semestre 5</t>
        </is>
      </c>
      <c r="G46" s="4" t="inlineStr">
        <is>
          <t>Aspects pédagogiques du rugby</t>
        </is>
      </c>
      <c r="H46" s="4" t="inlineStr">
        <is>
          <t>Pédagogie du rugby : familiarisation et initiation</t>
        </is>
      </c>
      <c r="I46" s="16" t="n">
        <v>1</v>
      </c>
      <c r="J46" s="16" t="n">
        <v>3</v>
      </c>
      <c r="K46" s="4" t="inlineStr">
        <is>
          <t>EPS / didactique-pédagogie</t>
        </is>
      </c>
      <c r="L46" s="4" t="inlineStr">
        <is>
          <t>EM|Semestre 5|Aspects pédagogiques du rugby</t>
        </is>
      </c>
    </row>
    <row r="47">
      <c r="A47" s="18" t="inlineStr">
        <is>
          <t>EM</t>
        </is>
      </c>
      <c r="B47" s="18" t="inlineStr">
        <is>
          <t>Éducation et Motricité (EM)</t>
        </is>
      </c>
      <c r="C47" s="18" t="inlineStr">
        <is>
          <t>ENSEPS</t>
        </is>
      </c>
      <c r="D47" s="18" t="inlineStr">
        <is>
          <t>Licence</t>
        </is>
      </c>
      <c r="E47" s="18" t="inlineStr">
        <is>
          <t>L3</t>
        </is>
      </c>
      <c r="F47" s="18" t="inlineStr">
        <is>
          <t>Semestre 5</t>
        </is>
      </c>
      <c r="G47" s="18" t="inlineStr">
        <is>
          <t>Aspects pédagogiques du volleyball</t>
        </is>
      </c>
      <c r="H47" s="18" t="inlineStr">
        <is>
          <t>Pédagogie du volleyball : familiarisation</t>
        </is>
      </c>
      <c r="I47" s="17" t="n">
        <v>1</v>
      </c>
      <c r="J47" s="17" t="n">
        <v>3</v>
      </c>
      <c r="K47" s="18" t="inlineStr">
        <is>
          <t>EPS / didactique-pédagogie</t>
        </is>
      </c>
      <c r="L47" s="18" t="inlineStr">
        <is>
          <t>EM|Semestre 5|Aspects pédagogiques du volleyball</t>
        </is>
      </c>
    </row>
    <row r="48">
      <c r="A48" s="4" t="inlineStr">
        <is>
          <t>EM</t>
        </is>
      </c>
      <c r="B48" s="4" t="inlineStr">
        <is>
          <t>Éducation et Motricité (EM)</t>
        </is>
      </c>
      <c r="C48" s="4" t="inlineStr">
        <is>
          <t>ENSEPS</t>
        </is>
      </c>
      <c r="D48" s="4" t="inlineStr">
        <is>
          <t>Licence</t>
        </is>
      </c>
      <c r="E48" s="4" t="inlineStr">
        <is>
          <t>L3</t>
        </is>
      </c>
      <c r="F48" s="4" t="inlineStr">
        <is>
          <t>Semestre 5</t>
        </is>
      </c>
      <c r="G48" s="4" t="inlineStr">
        <is>
          <t>Aspects pédagogiques de l'athlétisme</t>
        </is>
      </c>
      <c r="H48" s="4" t="inlineStr">
        <is>
          <t>Pédagogie de l'athlétisme : familiarisation et initiation</t>
        </is>
      </c>
      <c r="I48" s="16" t="n">
        <v>1</v>
      </c>
      <c r="J48" s="16" t="n">
        <v>3</v>
      </c>
      <c r="K48" s="4" t="inlineStr">
        <is>
          <t>EPS / didactique-pédagogie</t>
        </is>
      </c>
      <c r="L48" s="4" t="inlineStr">
        <is>
          <t>EM|Semestre 5|Aspects pédagogiques de l'athlétisme</t>
        </is>
      </c>
    </row>
    <row r="49">
      <c r="A49" s="18" t="inlineStr">
        <is>
          <t>EM</t>
        </is>
      </c>
      <c r="B49" s="18" t="inlineStr">
        <is>
          <t>Éducation et Motricité (EM)</t>
        </is>
      </c>
      <c r="C49" s="18" t="inlineStr">
        <is>
          <t>ENSEPS</t>
        </is>
      </c>
      <c r="D49" s="18" t="inlineStr">
        <is>
          <t>Licence</t>
        </is>
      </c>
      <c r="E49" s="18" t="inlineStr">
        <is>
          <t>L3</t>
        </is>
      </c>
      <c r="F49" s="18" t="inlineStr">
        <is>
          <t>Semestre 5</t>
        </is>
      </c>
      <c r="G49" s="18" t="inlineStr">
        <is>
          <t>Spécialisation théorique et pratique dans une APS</t>
        </is>
      </c>
      <c r="H49" s="18" t="inlineStr">
        <is>
          <t>APS de spécialité</t>
        </is>
      </c>
      <c r="I49" s="17" t="n">
        <v>1</v>
      </c>
      <c r="J49" s="17" t="n">
        <v>3</v>
      </c>
      <c r="K49" s="18" t="inlineStr">
        <is>
          <t>Pratiques sportives (APS)</t>
        </is>
      </c>
      <c r="L49" s="18" t="inlineStr">
        <is>
          <t>EM|Semestre 5|Spécialisation théorique et pratique dans une APS</t>
        </is>
      </c>
    </row>
    <row r="50">
      <c r="A50" s="4" t="inlineStr">
        <is>
          <t>EM</t>
        </is>
      </c>
      <c r="B50" s="4" t="inlineStr">
        <is>
          <t>Éducation et Motricité (EM)</t>
        </is>
      </c>
      <c r="C50" s="4" t="inlineStr">
        <is>
          <t>ENSEPS</t>
        </is>
      </c>
      <c r="D50" s="4" t="inlineStr">
        <is>
          <t>Licence</t>
        </is>
      </c>
      <c r="E50" s="4" t="inlineStr">
        <is>
          <t>L3</t>
        </is>
      </c>
      <c r="F50" s="4" t="inlineStr">
        <is>
          <t>Semestre 5</t>
        </is>
      </c>
      <c r="G50" s="4" t="inlineStr">
        <is>
          <t>Aspects pédagogiques du football</t>
        </is>
      </c>
      <c r="H50" s="4" t="inlineStr">
        <is>
          <t>Pédagogie du football : familiarisation et initiation</t>
        </is>
      </c>
      <c r="I50" s="16" t="n">
        <v>1</v>
      </c>
      <c r="J50" s="16" t="n">
        <v>2</v>
      </c>
      <c r="K50" s="4" t="inlineStr">
        <is>
          <t>EPS / didactique-pédagogie</t>
        </is>
      </c>
      <c r="L50" s="4" t="inlineStr">
        <is>
          <t>EM|Semestre 5|Aspects pédagogiques du football</t>
        </is>
      </c>
    </row>
    <row r="51">
      <c r="A51" s="18" t="inlineStr">
        <is>
          <t>EM</t>
        </is>
      </c>
      <c r="B51" s="18" t="inlineStr">
        <is>
          <t>Éducation et Motricité (EM)</t>
        </is>
      </c>
      <c r="C51" s="18" t="inlineStr">
        <is>
          <t>ENSEPS</t>
        </is>
      </c>
      <c r="D51" s="18" t="inlineStr">
        <is>
          <t>Licence</t>
        </is>
      </c>
      <c r="E51" s="18" t="inlineStr">
        <is>
          <t>L3</t>
        </is>
      </c>
      <c r="F51" s="18" t="inlineStr">
        <is>
          <t>Semestre 5</t>
        </is>
      </c>
      <c r="G51" s="18" t="inlineStr">
        <is>
          <t>Méthodologie</t>
        </is>
      </c>
      <c r="H51" s="18" t="inlineStr">
        <is>
          <t>Initiation à la méthodologie de la recherche scientifique : cadre méthodologique</t>
        </is>
      </c>
      <c r="I51" s="17" t="n">
        <v>1</v>
      </c>
      <c r="J51" s="17" t="n">
        <v>3</v>
      </c>
      <c r="K51" s="18" t="inlineStr">
        <is>
          <t>Recherche &amp; méthodologie</t>
        </is>
      </c>
      <c r="L51" s="18" t="inlineStr">
        <is>
          <t>EM|Semestre 5|Méthodologie</t>
        </is>
      </c>
    </row>
    <row r="52">
      <c r="A52" s="4" t="inlineStr">
        <is>
          <t>EM</t>
        </is>
      </c>
      <c r="B52" s="4" t="inlineStr">
        <is>
          <t>Éducation et Motricité (EM)</t>
        </is>
      </c>
      <c r="C52" s="4" t="inlineStr">
        <is>
          <t>ENSEPS</t>
        </is>
      </c>
      <c r="D52" s="4" t="inlineStr">
        <is>
          <t>Licence</t>
        </is>
      </c>
      <c r="E52" s="4" t="inlineStr">
        <is>
          <t>L3</t>
        </is>
      </c>
      <c r="F52" s="4" t="inlineStr">
        <is>
          <t>Semestre 5</t>
        </is>
      </c>
      <c r="G52" s="4" t="inlineStr">
        <is>
          <t>Life Skills</t>
        </is>
      </c>
      <c r="H52" s="4" t="inlineStr">
        <is>
          <t>ECUE 1 : Adolescence : éthique et morale en milieu scolaire ; ECUE 2 : Culture civique</t>
        </is>
      </c>
      <c r="I52" s="16" t="n">
        <v>2</v>
      </c>
      <c r="J52" s="16" t="n">
        <v>2</v>
      </c>
      <c r="K52" s="4" t="inlineStr">
        <is>
          <t>Transversal / civique / secourisme</t>
        </is>
      </c>
      <c r="L52" s="4" t="inlineStr">
        <is>
          <t>EM|Semestre 5|Life Skills</t>
        </is>
      </c>
    </row>
    <row r="53">
      <c r="A53" s="18" t="inlineStr">
        <is>
          <t>EM</t>
        </is>
      </c>
      <c r="B53" s="18" t="inlineStr">
        <is>
          <t>Éducation et Motricité (EM)</t>
        </is>
      </c>
      <c r="C53" s="18" t="inlineStr">
        <is>
          <t>ENSEPS</t>
        </is>
      </c>
      <c r="D53" s="18" t="inlineStr">
        <is>
          <t>Licence</t>
        </is>
      </c>
      <c r="E53" s="18" t="inlineStr">
        <is>
          <t>L3</t>
        </is>
      </c>
      <c r="F53" s="18" t="inlineStr">
        <is>
          <t>Semestre 5</t>
        </is>
      </c>
      <c r="G53" s="18" t="inlineStr">
        <is>
          <t>Techniques d'expression écrite et orale</t>
        </is>
      </c>
      <c r="H53" s="18" t="inlineStr">
        <is>
          <t>Anglais : communication orale</t>
        </is>
      </c>
      <c r="I53" s="17" t="n">
        <v>1</v>
      </c>
      <c r="J53" s="17" t="n">
        <v>2</v>
      </c>
      <c r="K53" s="18" t="inlineStr">
        <is>
          <t>Langues &amp; communication</t>
        </is>
      </c>
      <c r="L53" s="18" t="inlineStr">
        <is>
          <t>EM|Semestre 5|Techniques d'expression écrite et orale</t>
        </is>
      </c>
    </row>
    <row r="54">
      <c r="A54" s="4" t="inlineStr">
        <is>
          <t>EM</t>
        </is>
      </c>
      <c r="B54" s="4" t="inlineStr">
        <is>
          <t>Éducation et Motricité (EM)</t>
        </is>
      </c>
      <c r="C54" s="4" t="inlineStr">
        <is>
          <t>ENSEPS</t>
        </is>
      </c>
      <c r="D54" s="4" t="inlineStr">
        <is>
          <t>Licence</t>
        </is>
      </c>
      <c r="E54" s="4" t="inlineStr">
        <is>
          <t>L3</t>
        </is>
      </c>
      <c r="F54" s="4" t="inlineStr">
        <is>
          <t>Semestre 6</t>
        </is>
      </c>
      <c r="G54" s="4" t="inlineStr">
        <is>
          <t>Intervention en APS : interaction</t>
        </is>
      </c>
      <c r="H54" s="4" t="inlineStr">
        <is>
          <t>Analyse des variables de l'interaction en EPS</t>
        </is>
      </c>
      <c r="I54" s="16" t="n">
        <v>1</v>
      </c>
      <c r="J54" s="16" t="n">
        <v>2</v>
      </c>
      <c r="K54" s="4" t="inlineStr">
        <is>
          <t>EPS / didactique-pédagogie</t>
        </is>
      </c>
      <c r="L54" s="4" t="inlineStr">
        <is>
          <t>EM|Semestre 6|Intervention en APS : interaction</t>
        </is>
      </c>
    </row>
    <row r="55">
      <c r="A55" s="18" t="inlineStr">
        <is>
          <t>EM</t>
        </is>
      </c>
      <c r="B55" s="18" t="inlineStr">
        <is>
          <t>Éducation et Motricité (EM)</t>
        </is>
      </c>
      <c r="C55" s="18" t="inlineStr">
        <is>
          <t>ENSEPS</t>
        </is>
      </c>
      <c r="D55" s="18" t="inlineStr">
        <is>
          <t>Licence</t>
        </is>
      </c>
      <c r="E55" s="18" t="inlineStr">
        <is>
          <t>L3</t>
        </is>
      </c>
      <c r="F55" s="18" t="inlineStr">
        <is>
          <t>Semestre 6</t>
        </is>
      </c>
      <c r="G55" s="18" t="inlineStr">
        <is>
          <t>Intervention en APS : mesure et évaluation</t>
        </is>
      </c>
      <c r="H55" s="18" t="inlineStr">
        <is>
          <t>Application des théories de mesure et évaluation en EPS</t>
        </is>
      </c>
      <c r="I55" s="17" t="n">
        <v>1</v>
      </c>
      <c r="J55" s="17" t="n">
        <v>2</v>
      </c>
      <c r="K55" s="18" t="inlineStr">
        <is>
          <t>EPS / didactique-pédagogie</t>
        </is>
      </c>
      <c r="L55" s="18" t="inlineStr">
        <is>
          <t>EM|Semestre 6|Intervention en APS : mesure et évaluation</t>
        </is>
      </c>
    </row>
    <row r="56">
      <c r="A56" s="4" t="inlineStr">
        <is>
          <t>EM</t>
        </is>
      </c>
      <c r="B56" s="4" t="inlineStr">
        <is>
          <t>Éducation et Motricité (EM)</t>
        </is>
      </c>
      <c r="C56" s="4" t="inlineStr">
        <is>
          <t>ENSEPS</t>
        </is>
      </c>
      <c r="D56" s="4" t="inlineStr">
        <is>
          <t>Licence</t>
        </is>
      </c>
      <c r="E56" s="4" t="inlineStr">
        <is>
          <t>L3</t>
        </is>
      </c>
      <c r="F56" s="4" t="inlineStr">
        <is>
          <t>Semestre 6</t>
        </is>
      </c>
      <c r="G56" s="4" t="inlineStr">
        <is>
          <t>Aspects pédagogiques du volleyball</t>
        </is>
      </c>
      <c r="H56" s="4" t="inlineStr">
        <is>
          <t>Pédagogie du volleyball : initiation</t>
        </is>
      </c>
      <c r="I56" s="16" t="n">
        <v>1</v>
      </c>
      <c r="J56" s="16" t="n">
        <v>3</v>
      </c>
      <c r="K56" s="4" t="inlineStr">
        <is>
          <t>EPS / didactique-pédagogie</t>
        </is>
      </c>
      <c r="L56" s="4" t="inlineStr">
        <is>
          <t>EM|Semestre 6|Aspects pédagogiques du volleyball</t>
        </is>
      </c>
    </row>
    <row r="57">
      <c r="A57" s="18" t="inlineStr">
        <is>
          <t>EM</t>
        </is>
      </c>
      <c r="B57" s="18" t="inlineStr">
        <is>
          <t>Éducation et Motricité (EM)</t>
        </is>
      </c>
      <c r="C57" s="18" t="inlineStr">
        <is>
          <t>ENSEPS</t>
        </is>
      </c>
      <c r="D57" s="18" t="inlineStr">
        <is>
          <t>Licence</t>
        </is>
      </c>
      <c r="E57" s="18" t="inlineStr">
        <is>
          <t>L3</t>
        </is>
      </c>
      <c r="F57" s="18" t="inlineStr">
        <is>
          <t>Semestre 6</t>
        </is>
      </c>
      <c r="G57" s="18" t="inlineStr">
        <is>
          <t>Aspects pédagogiques de la gymnastique</t>
        </is>
      </c>
      <c r="H57" s="18" t="inlineStr">
        <is>
          <t>Pédagogie de la gymnastique : initiation</t>
        </is>
      </c>
      <c r="I57" s="17" t="n">
        <v>1</v>
      </c>
      <c r="J57" s="17" t="n">
        <v>2</v>
      </c>
      <c r="K57" s="18" t="inlineStr">
        <is>
          <t>EPS / didactique-pédagogie</t>
        </is>
      </c>
      <c r="L57" s="18" t="inlineStr">
        <is>
          <t>EM|Semestre 6|Aspects pédagogiques de la gymnastique</t>
        </is>
      </c>
    </row>
    <row r="58">
      <c r="A58" s="4" t="inlineStr">
        <is>
          <t>EM</t>
        </is>
      </c>
      <c r="B58" s="4" t="inlineStr">
        <is>
          <t>Éducation et Motricité (EM)</t>
        </is>
      </c>
      <c r="C58" s="4" t="inlineStr">
        <is>
          <t>ENSEPS</t>
        </is>
      </c>
      <c r="D58" s="4" t="inlineStr">
        <is>
          <t>Licence</t>
        </is>
      </c>
      <c r="E58" s="4" t="inlineStr">
        <is>
          <t>L3</t>
        </is>
      </c>
      <c r="F58" s="4" t="inlineStr">
        <is>
          <t>Semestre 6</t>
        </is>
      </c>
      <c r="G58" s="4" t="inlineStr">
        <is>
          <t>Aspects pédagogiques de l'athlétisme</t>
        </is>
      </c>
      <c r="H58" s="4" t="inlineStr">
        <is>
          <t>Pédagogie de l'athlétisme : initiation</t>
        </is>
      </c>
      <c r="I58" s="16" t="n">
        <v>1</v>
      </c>
      <c r="J58" s="16" t="n">
        <v>3</v>
      </c>
      <c r="K58" s="4" t="inlineStr">
        <is>
          <t>EPS / didactique-pédagogie</t>
        </is>
      </c>
      <c r="L58" s="4" t="inlineStr">
        <is>
          <t>EM|Semestre 6|Aspects pédagogiques de l'athlétisme</t>
        </is>
      </c>
    </row>
    <row r="59">
      <c r="A59" s="18" t="inlineStr">
        <is>
          <t>EM</t>
        </is>
      </c>
      <c r="B59" s="18" t="inlineStr">
        <is>
          <t>Éducation et Motricité (EM)</t>
        </is>
      </c>
      <c r="C59" s="18" t="inlineStr">
        <is>
          <t>ENSEPS</t>
        </is>
      </c>
      <c r="D59" s="18" t="inlineStr">
        <is>
          <t>Licence</t>
        </is>
      </c>
      <c r="E59" s="18" t="inlineStr">
        <is>
          <t>L3</t>
        </is>
      </c>
      <c r="F59" s="18" t="inlineStr">
        <is>
          <t>Semestre 6</t>
        </is>
      </c>
      <c r="G59" s="18" t="inlineStr">
        <is>
          <t>Aspects pédagogiques du basketball</t>
        </is>
      </c>
      <c r="H59" s="18" t="inlineStr">
        <is>
          <t>Pédagogie du basketball : familiarisation et initiation</t>
        </is>
      </c>
      <c r="I59" s="17" t="n">
        <v>1</v>
      </c>
      <c r="J59" s="17" t="n">
        <v>3</v>
      </c>
      <c r="K59" s="18" t="inlineStr">
        <is>
          <t>EPS / didactique-pédagogie</t>
        </is>
      </c>
      <c r="L59" s="18" t="inlineStr">
        <is>
          <t>EM|Semestre 6|Aspects pédagogiques du basketball</t>
        </is>
      </c>
    </row>
    <row r="60">
      <c r="A60" s="4" t="inlineStr">
        <is>
          <t>EM</t>
        </is>
      </c>
      <c r="B60" s="4" t="inlineStr">
        <is>
          <t>Éducation et Motricité (EM)</t>
        </is>
      </c>
      <c r="C60" s="4" t="inlineStr">
        <is>
          <t>ENSEPS</t>
        </is>
      </c>
      <c r="D60" s="4" t="inlineStr">
        <is>
          <t>Licence</t>
        </is>
      </c>
      <c r="E60" s="4" t="inlineStr">
        <is>
          <t>L3</t>
        </is>
      </c>
      <c r="F60" s="4" t="inlineStr">
        <is>
          <t>Semestre 6</t>
        </is>
      </c>
      <c r="G60" s="4" t="inlineStr">
        <is>
          <t>Aspects pédagogiques du rugby</t>
        </is>
      </c>
      <c r="H60" s="4" t="inlineStr">
        <is>
          <t>Pédagogie du rugby : familiarisation et initiation</t>
        </is>
      </c>
      <c r="I60" s="16" t="n">
        <v>1</v>
      </c>
      <c r="J60" s="16" t="n">
        <v>3</v>
      </c>
      <c r="K60" s="4" t="inlineStr">
        <is>
          <t>EPS / didactique-pédagogie</t>
        </is>
      </c>
      <c r="L60" s="4" t="inlineStr">
        <is>
          <t>EM|Semestre 6|Aspects pédagogiques du rugby</t>
        </is>
      </c>
    </row>
    <row r="61">
      <c r="A61" s="18" t="inlineStr">
        <is>
          <t>EM</t>
        </is>
      </c>
      <c r="B61" s="18" t="inlineStr">
        <is>
          <t>Éducation et Motricité (EM)</t>
        </is>
      </c>
      <c r="C61" s="18" t="inlineStr">
        <is>
          <t>ENSEPS</t>
        </is>
      </c>
      <c r="D61" s="18" t="inlineStr">
        <is>
          <t>Licence</t>
        </is>
      </c>
      <c r="E61" s="18" t="inlineStr">
        <is>
          <t>L3</t>
        </is>
      </c>
      <c r="F61" s="18" t="inlineStr">
        <is>
          <t>Semestre 6</t>
        </is>
      </c>
      <c r="G61" s="18" t="inlineStr">
        <is>
          <t>Spécialisation théorique et pratique dans une APS</t>
        </is>
      </c>
      <c r="H61" s="18" t="inlineStr">
        <is>
          <t>Théorie et pratique de l'entraînement de l'APS de spécialité</t>
        </is>
      </c>
      <c r="I61" s="17" t="n">
        <v>1</v>
      </c>
      <c r="J61" s="17" t="n">
        <v>2</v>
      </c>
      <c r="K61" s="18" t="inlineStr">
        <is>
          <t>Pratiques sportives (APS)</t>
        </is>
      </c>
      <c r="L61" s="18" t="inlineStr">
        <is>
          <t>EM|Semestre 6|Spécialisation théorique et pratique dans une APS</t>
        </is>
      </c>
    </row>
    <row r="62">
      <c r="A62" s="4" t="inlineStr">
        <is>
          <t>EM</t>
        </is>
      </c>
      <c r="B62" s="4" t="inlineStr">
        <is>
          <t>Éducation et Motricité (EM)</t>
        </is>
      </c>
      <c r="C62" s="4" t="inlineStr">
        <is>
          <t>ENSEPS</t>
        </is>
      </c>
      <c r="D62" s="4" t="inlineStr">
        <is>
          <t>Licence</t>
        </is>
      </c>
      <c r="E62" s="4" t="inlineStr">
        <is>
          <t>L3</t>
        </is>
      </c>
      <c r="F62" s="4" t="inlineStr">
        <is>
          <t>Semestre 6</t>
        </is>
      </c>
      <c r="G62" s="4" t="inlineStr">
        <is>
          <t>Traumatologie du sport</t>
        </is>
      </c>
      <c r="H62" s="4" t="inlineStr">
        <is>
          <t>Étude des pathologies liées à la pratique du sport et leurs traitements</t>
        </is>
      </c>
      <c r="I62" s="16" t="n">
        <v>1</v>
      </c>
      <c r="J62" s="16" t="n">
        <v>2</v>
      </c>
      <c r="K62" s="4" t="inlineStr">
        <is>
          <t>Sciences biomédicales</t>
        </is>
      </c>
      <c r="L62" s="4" t="inlineStr">
        <is>
          <t>EM|Semestre 6|Traumatologie du sport</t>
        </is>
      </c>
    </row>
    <row r="63">
      <c r="A63" s="18" t="inlineStr">
        <is>
          <t>EM</t>
        </is>
      </c>
      <c r="B63" s="18" t="inlineStr">
        <is>
          <t>Éducation et Motricité (EM)</t>
        </is>
      </c>
      <c r="C63" s="18" t="inlineStr">
        <is>
          <t>ENSEPS</t>
        </is>
      </c>
      <c r="D63" s="18" t="inlineStr">
        <is>
          <t>Licence</t>
        </is>
      </c>
      <c r="E63" s="18" t="inlineStr">
        <is>
          <t>L3</t>
        </is>
      </c>
      <c r="F63" s="18" t="inlineStr">
        <is>
          <t>Semestre 6</t>
        </is>
      </c>
      <c r="G63" s="18" t="inlineStr">
        <is>
          <t>Pré-professionnalisation</t>
        </is>
      </c>
      <c r="H63" s="18" t="inlineStr">
        <is>
          <t>Stage pédagogique dans un établissement d'enseignement secondaire</t>
        </is>
      </c>
      <c r="I63" s="17" t="n">
        <v>1</v>
      </c>
      <c r="J63" s="17" t="n">
        <v>3</v>
      </c>
      <c r="K63" s="18" t="inlineStr">
        <is>
          <t>Professionnalisation / stages</t>
        </is>
      </c>
      <c r="L63" s="18" t="inlineStr">
        <is>
          <t>EM|Semestre 6|Pré-professionnalisation</t>
        </is>
      </c>
    </row>
    <row r="64">
      <c r="A64" s="4" t="inlineStr">
        <is>
          <t>EM</t>
        </is>
      </c>
      <c r="B64" s="4" t="inlineStr">
        <is>
          <t>Éducation et Motricité (EM)</t>
        </is>
      </c>
      <c r="C64" s="4" t="inlineStr">
        <is>
          <t>ENSEPS</t>
        </is>
      </c>
      <c r="D64" s="4" t="inlineStr">
        <is>
          <t>Licence</t>
        </is>
      </c>
      <c r="E64" s="4" t="inlineStr">
        <is>
          <t>L3</t>
        </is>
      </c>
      <c r="F64" s="4" t="inlineStr">
        <is>
          <t>Semestre 6</t>
        </is>
      </c>
      <c r="G64" s="4" t="inlineStr">
        <is>
          <t>Formation à la recherche scientifique</t>
        </is>
      </c>
      <c r="H64" s="4" t="inlineStr">
        <is>
          <t>Séminaire de recherche : élaboration de projet de mémoire</t>
        </is>
      </c>
      <c r="I64" s="16" t="n">
        <v>1</v>
      </c>
      <c r="J64" s="16" t="n">
        <v>3</v>
      </c>
      <c r="K64" s="4" t="inlineStr">
        <is>
          <t>Recherche &amp; méthodologie</t>
        </is>
      </c>
      <c r="L64" s="4" t="inlineStr">
        <is>
          <t>EM|Semestre 6|Formation à la recherche scientifique</t>
        </is>
      </c>
    </row>
    <row r="65">
      <c r="A65" s="18" t="inlineStr">
        <is>
          <t>EM</t>
        </is>
      </c>
      <c r="B65" s="18" t="inlineStr">
        <is>
          <t>Éducation et Motricité (EM)</t>
        </is>
      </c>
      <c r="C65" s="18" t="inlineStr">
        <is>
          <t>ENSEPS</t>
        </is>
      </c>
      <c r="D65" s="18" t="inlineStr">
        <is>
          <t>Licence</t>
        </is>
      </c>
      <c r="E65" s="18" t="inlineStr">
        <is>
          <t>L3</t>
        </is>
      </c>
      <c r="F65" s="18" t="inlineStr">
        <is>
          <t>Semestre 6</t>
        </is>
      </c>
      <c r="G65" s="18" t="inlineStr">
        <is>
          <t>Techniques d'expression écrite et orale</t>
        </is>
      </c>
      <c r="H65" s="18" t="inlineStr">
        <is>
          <t>Anglais : communication orale</t>
        </is>
      </c>
      <c r="I65" s="17" t="n">
        <v>1</v>
      </c>
      <c r="J65" s="17" t="n">
        <v>2</v>
      </c>
      <c r="K65" s="18" t="inlineStr">
        <is>
          <t>Langues &amp; communication</t>
        </is>
      </c>
      <c r="L65" s="18" t="inlineStr">
        <is>
          <t>EM|Semestre 6|Techniques d'expression écrite et orale</t>
        </is>
      </c>
    </row>
    <row r="66">
      <c r="A66" s="4" t="inlineStr">
        <is>
          <t>EM</t>
        </is>
      </c>
      <c r="B66" s="4" t="inlineStr">
        <is>
          <t>Éducation et Motricité (EM)</t>
        </is>
      </c>
      <c r="C66" s="4" t="inlineStr">
        <is>
          <t>ENSEPS</t>
        </is>
      </c>
      <c r="D66" s="4" t="inlineStr">
        <is>
          <t>Master</t>
        </is>
      </c>
      <c r="E66" s="4" t="inlineStr">
        <is>
          <t>M1</t>
        </is>
      </c>
      <c r="F66" s="4" t="inlineStr">
        <is>
          <t>Semestre 1 (M1/S7)</t>
        </is>
      </c>
      <c r="G66" s="4" t="inlineStr">
        <is>
          <t>Connaissances institutionnelles de l'éducation et du sport</t>
        </is>
      </c>
      <c r="H66" s="4" t="inlineStr">
        <is>
          <t>Systèmes éducatifs : réalités scolaires, éducatives et dispositifs institutionnels</t>
        </is>
      </c>
      <c r="I66" s="16" t="n">
        <v>1</v>
      </c>
      <c r="J66" s="16" t="n">
        <v>3</v>
      </c>
      <c r="K66" s="4" t="inlineStr">
        <is>
          <t>Sciences humaines &amp; sociales</t>
        </is>
      </c>
      <c r="L66" s="4" t="inlineStr">
        <is>
          <t>EM|Semestre 1 (M1/S7)|Connaissances institutionnelles de l'éducation et du sport</t>
        </is>
      </c>
    </row>
    <row r="67">
      <c r="A67" s="18" t="inlineStr">
        <is>
          <t>EM</t>
        </is>
      </c>
      <c r="B67" s="18" t="inlineStr">
        <is>
          <t>Éducation et Motricité (EM)</t>
        </is>
      </c>
      <c r="C67" s="18" t="inlineStr">
        <is>
          <t>ENSEPS</t>
        </is>
      </c>
      <c r="D67" s="18" t="inlineStr">
        <is>
          <t>Master</t>
        </is>
      </c>
      <c r="E67" s="18" t="inlineStr">
        <is>
          <t>M1</t>
        </is>
      </c>
      <c r="F67" s="18" t="inlineStr">
        <is>
          <t>Semestre 1 (M1/S7)</t>
        </is>
      </c>
      <c r="G67" s="18" t="inlineStr">
        <is>
          <t>Connaissances psychosociologiques des APS</t>
        </is>
      </c>
      <c r="H67" s="18" t="inlineStr">
        <is>
          <t>Aspects psychosociologiques des APS</t>
        </is>
      </c>
      <c r="I67" s="17" t="n">
        <v>1</v>
      </c>
      <c r="J67" s="17" t="n">
        <v>3</v>
      </c>
      <c r="K67" s="18" t="inlineStr">
        <is>
          <t>Sciences humaines &amp; sociales</t>
        </is>
      </c>
      <c r="L67" s="18" t="inlineStr">
        <is>
          <t>EM|Semestre 1 (M1/S7)|Connaissances psychosociologiques des APS</t>
        </is>
      </c>
    </row>
    <row r="68">
      <c r="A68" s="4" t="inlineStr">
        <is>
          <t>EM</t>
        </is>
      </c>
      <c r="B68" s="4" t="inlineStr">
        <is>
          <t>Éducation et Motricité (EM)</t>
        </is>
      </c>
      <c r="C68" s="4" t="inlineStr">
        <is>
          <t>ENSEPS</t>
        </is>
      </c>
      <c r="D68" s="4" t="inlineStr">
        <is>
          <t>Master</t>
        </is>
      </c>
      <c r="E68" s="4" t="inlineStr">
        <is>
          <t>M1</t>
        </is>
      </c>
      <c r="F68" s="4" t="inlineStr">
        <is>
          <t>Semestre 1 (M1/S7)</t>
        </is>
      </c>
      <c r="G68" s="4" t="inlineStr">
        <is>
          <t>Intervention en mesure et évaluation de l'EPS</t>
        </is>
      </c>
      <c r="H68" s="4" t="inlineStr">
        <is>
          <t>Mesure et évaluation de l'EPS</t>
        </is>
      </c>
      <c r="I68" s="16" t="n">
        <v>1</v>
      </c>
      <c r="J68" s="16" t="n">
        <v>3</v>
      </c>
      <c r="K68" s="4" t="inlineStr">
        <is>
          <t>EPS / didactique-pédagogie</t>
        </is>
      </c>
      <c r="L68" s="4" t="inlineStr">
        <is>
          <t>EM|Semestre 1 (M1/S7)|Intervention en mesure et évaluation de l'EPS</t>
        </is>
      </c>
    </row>
    <row r="69">
      <c r="A69" s="18" t="inlineStr">
        <is>
          <t>EM</t>
        </is>
      </c>
      <c r="B69" s="18" t="inlineStr">
        <is>
          <t>Éducation et Motricité (EM)</t>
        </is>
      </c>
      <c r="C69" s="18" t="inlineStr">
        <is>
          <t>ENSEPS</t>
        </is>
      </c>
      <c r="D69" s="18" t="inlineStr">
        <is>
          <t>Master</t>
        </is>
      </c>
      <c r="E69" s="18" t="inlineStr">
        <is>
          <t>M1</t>
        </is>
      </c>
      <c r="F69" s="18" t="inlineStr">
        <is>
          <t>Semestre 1 (M1/S7)</t>
        </is>
      </c>
      <c r="G69" s="18" t="inlineStr">
        <is>
          <t>Didactique de l'EPS</t>
        </is>
      </c>
      <c r="H69" s="18" t="inlineStr">
        <is>
          <t>Didactique de l'EPS : conception et analyse des situations d'enseignement-apprentissage</t>
        </is>
      </c>
      <c r="I69" s="17" t="n">
        <v>1</v>
      </c>
      <c r="J69" s="17" t="n">
        <v>3</v>
      </c>
      <c r="K69" s="18" t="inlineStr">
        <is>
          <t>EPS / didactique-pédagogie</t>
        </is>
      </c>
      <c r="L69" s="18" t="inlineStr">
        <is>
          <t>EM|Semestre 1 (M1/S7)|Didactique de l'EPS</t>
        </is>
      </c>
    </row>
    <row r="70">
      <c r="A70" s="4" t="inlineStr">
        <is>
          <t>EM</t>
        </is>
      </c>
      <c r="B70" s="4" t="inlineStr">
        <is>
          <t>Éducation et Motricité (EM)</t>
        </is>
      </c>
      <c r="C70" s="4" t="inlineStr">
        <is>
          <t>ENSEPS</t>
        </is>
      </c>
      <c r="D70" s="4" t="inlineStr">
        <is>
          <t>Master</t>
        </is>
      </c>
      <c r="E70" s="4" t="inlineStr">
        <is>
          <t>M1</t>
        </is>
      </c>
      <c r="F70" s="4" t="inlineStr">
        <is>
          <t>Semestre 1 (M1/S7)</t>
        </is>
      </c>
      <c r="G70" s="4" t="inlineStr">
        <is>
          <t>Didactique des sports d'expression corporelle</t>
        </is>
      </c>
      <c r="H70" s="4" t="inlineStr">
        <is>
          <t>Didactique de la gymnastique</t>
        </is>
      </c>
      <c r="I70" s="16" t="n">
        <v>1</v>
      </c>
      <c r="J70" s="16" t="n">
        <v>3</v>
      </c>
      <c r="K70" s="4" t="inlineStr">
        <is>
          <t>Langues &amp; communication</t>
        </is>
      </c>
      <c r="L70" s="4" t="inlineStr">
        <is>
          <t>EM|Semestre 1 (M1/S7)|Didactique des sports d'expression corporelle</t>
        </is>
      </c>
    </row>
    <row r="71">
      <c r="A71" s="18" t="inlineStr">
        <is>
          <t>EM</t>
        </is>
      </c>
      <c r="B71" s="18" t="inlineStr">
        <is>
          <t>Éducation et Motricité (EM)</t>
        </is>
      </c>
      <c r="C71" s="18" t="inlineStr">
        <is>
          <t>ENSEPS</t>
        </is>
      </c>
      <c r="D71" s="18" t="inlineStr">
        <is>
          <t>Master</t>
        </is>
      </c>
      <c r="E71" s="18" t="inlineStr">
        <is>
          <t>M1</t>
        </is>
      </c>
      <c r="F71" s="18" t="inlineStr">
        <is>
          <t>Semestre 1 (M1/S7)</t>
        </is>
      </c>
      <c r="G71" s="18" t="inlineStr">
        <is>
          <t>Didactique des sports collectifs de petit terrain</t>
        </is>
      </c>
      <c r="H71" s="18" t="inlineStr">
        <is>
          <t>ECUE 1 : Didactique du handball ; ECUE 2 : Didactique du basketball</t>
        </is>
      </c>
      <c r="I71" s="17" t="n">
        <v>2</v>
      </c>
      <c r="J71" s="17" t="n">
        <v>6</v>
      </c>
      <c r="K71" s="18" t="inlineStr">
        <is>
          <t>EPS / didactique-pédagogie</t>
        </is>
      </c>
      <c r="L71" s="18" t="inlineStr">
        <is>
          <t>EM|Semestre 1 (M1/S7)|Didactique des sports collectifs de petit terrain</t>
        </is>
      </c>
    </row>
    <row r="72">
      <c r="A72" s="4" t="inlineStr">
        <is>
          <t>EM</t>
        </is>
      </c>
      <c r="B72" s="4" t="inlineStr">
        <is>
          <t>Éducation et Motricité (EM)</t>
        </is>
      </c>
      <c r="C72" s="4" t="inlineStr">
        <is>
          <t>ENSEPS</t>
        </is>
      </c>
      <c r="D72" s="4" t="inlineStr">
        <is>
          <t>Master</t>
        </is>
      </c>
      <c r="E72" s="4" t="inlineStr">
        <is>
          <t>M1</t>
        </is>
      </c>
      <c r="F72" s="4" t="inlineStr">
        <is>
          <t>Semestre 1 (M1/S7)</t>
        </is>
      </c>
      <c r="G72" s="4" t="inlineStr">
        <is>
          <t>Méthodologie</t>
        </is>
      </c>
      <c r="H72" s="4" t="inlineStr">
        <is>
          <t>Méthodologie de la recherche scientifique 1</t>
        </is>
      </c>
      <c r="I72" s="16" t="n">
        <v>1</v>
      </c>
      <c r="J72" s="16" t="n">
        <v>3</v>
      </c>
      <c r="K72" s="4" t="inlineStr">
        <is>
          <t>Recherche &amp; méthodologie</t>
        </is>
      </c>
      <c r="L72" s="4" t="inlineStr">
        <is>
          <t>EM|Semestre 1 (M1/S7)|Méthodologie</t>
        </is>
      </c>
    </row>
    <row r="73">
      <c r="A73" s="18" t="inlineStr">
        <is>
          <t>EM</t>
        </is>
      </c>
      <c r="B73" s="18" t="inlineStr">
        <is>
          <t>Éducation et Motricité (EM)</t>
        </is>
      </c>
      <c r="C73" s="18" t="inlineStr">
        <is>
          <t>ENSEPS</t>
        </is>
      </c>
      <c r="D73" s="18" t="inlineStr">
        <is>
          <t>Master</t>
        </is>
      </c>
      <c r="E73" s="18" t="inlineStr">
        <is>
          <t>M1</t>
        </is>
      </c>
      <c r="F73" s="18" t="inlineStr">
        <is>
          <t>Semestre 1 (M1/S7)</t>
        </is>
      </c>
      <c r="G73" s="18" t="inlineStr">
        <is>
          <t>Formation à la recherche</t>
        </is>
      </c>
      <c r="H73" s="18" t="inlineStr">
        <is>
          <t>Séminaire de recherche en Éducation et Motricité</t>
        </is>
      </c>
      <c r="I73" s="17" t="n">
        <v>1</v>
      </c>
      <c r="J73" s="17" t="n">
        <v>4</v>
      </c>
      <c r="K73" s="18" t="inlineStr">
        <is>
          <t>Recherche &amp; méthodologie</t>
        </is>
      </c>
      <c r="L73" s="18" t="inlineStr">
        <is>
          <t>EM|Semestre 1 (M1/S7)|Formation à la recherche</t>
        </is>
      </c>
    </row>
    <row r="74">
      <c r="A74" s="4" t="inlineStr">
        <is>
          <t>EM</t>
        </is>
      </c>
      <c r="B74" s="4" t="inlineStr">
        <is>
          <t>Éducation et Motricité (EM)</t>
        </is>
      </c>
      <c r="C74" s="4" t="inlineStr">
        <is>
          <t>ENSEPS</t>
        </is>
      </c>
      <c r="D74" s="4" t="inlineStr">
        <is>
          <t>Master</t>
        </is>
      </c>
      <c r="E74" s="4" t="inlineStr">
        <is>
          <t>M1</t>
        </is>
      </c>
      <c r="F74" s="4" t="inlineStr">
        <is>
          <t>Semestre 1 (M1/S7)</t>
        </is>
      </c>
      <c r="G74" s="4" t="inlineStr">
        <is>
          <t>Technique d'expression écrite et orale</t>
        </is>
      </c>
      <c r="H74" s="4" t="inlineStr">
        <is>
          <t>Anglais professionnel</t>
        </is>
      </c>
      <c r="I74" s="16" t="n">
        <v>1</v>
      </c>
      <c r="J74" s="16" t="n">
        <v>2</v>
      </c>
      <c r="K74" s="4" t="inlineStr">
        <is>
          <t>Langues &amp; communication</t>
        </is>
      </c>
      <c r="L74" s="4" t="inlineStr">
        <is>
          <t>EM|Semestre 1 (M1/S7)|Technique d'expression écrite et orale</t>
        </is>
      </c>
    </row>
    <row r="75">
      <c r="A75" s="18" t="inlineStr">
        <is>
          <t>EM</t>
        </is>
      </c>
      <c r="B75" s="18" t="inlineStr">
        <is>
          <t>Éducation et Motricité (EM)</t>
        </is>
      </c>
      <c r="C75" s="18" t="inlineStr">
        <is>
          <t>ENSEPS</t>
        </is>
      </c>
      <c r="D75" s="18" t="inlineStr">
        <is>
          <t>Master</t>
        </is>
      </c>
      <c r="E75" s="18" t="inlineStr">
        <is>
          <t>M1</t>
        </is>
      </c>
      <c r="F75" s="18" t="inlineStr">
        <is>
          <t>Semestre 2 (M1/S8)</t>
        </is>
      </c>
      <c r="G75" s="18" t="inlineStr">
        <is>
          <t>Connaissances psychologiques des APS</t>
        </is>
      </c>
      <c r="H75" s="18" t="inlineStr">
        <is>
          <t>Gestion des émotions et stratégies de motivation dans la conduite des séances d'EPS</t>
        </is>
      </c>
      <c r="I75" s="17" t="n">
        <v>1</v>
      </c>
      <c r="J75" s="17" t="n">
        <v>2</v>
      </c>
      <c r="K75" s="18" t="inlineStr">
        <is>
          <t>Sciences humaines &amp; sociales</t>
        </is>
      </c>
      <c r="L75" s="18" t="inlineStr">
        <is>
          <t>EM|Semestre 2 (M1/S8)|Connaissances psychologiques des APS</t>
        </is>
      </c>
    </row>
    <row r="76">
      <c r="A76" s="4" t="inlineStr">
        <is>
          <t>EM</t>
        </is>
      </c>
      <c r="B76" s="4" t="inlineStr">
        <is>
          <t>Éducation et Motricité (EM)</t>
        </is>
      </c>
      <c r="C76" s="4" t="inlineStr">
        <is>
          <t>ENSEPS</t>
        </is>
      </c>
      <c r="D76" s="4" t="inlineStr">
        <is>
          <t>Master</t>
        </is>
      </c>
      <c r="E76" s="4" t="inlineStr">
        <is>
          <t>M1</t>
        </is>
      </c>
      <c r="F76" s="4" t="inlineStr">
        <is>
          <t>Semestre 2 (M1/S8)</t>
        </is>
      </c>
      <c r="G76" s="4" t="inlineStr">
        <is>
          <t>Intervention en EPS</t>
        </is>
      </c>
      <c r="H76" s="4" t="inlineStr">
        <is>
          <t>Enseignement de l'EPS et connaissances disciplinaires : préparation à l'écrit de pédagogie 1</t>
        </is>
      </c>
      <c r="I76" s="16" t="n">
        <v>1</v>
      </c>
      <c r="J76" s="16" t="n">
        <v>3</v>
      </c>
      <c r="K76" s="4" t="inlineStr">
        <is>
          <t>EPS / didactique-pédagogie</t>
        </is>
      </c>
      <c r="L76" s="4" t="inlineStr">
        <is>
          <t>EM|Semestre 2 (M1/S8)|Intervention en EPS</t>
        </is>
      </c>
    </row>
    <row r="77">
      <c r="A77" s="18" t="inlineStr">
        <is>
          <t>EM</t>
        </is>
      </c>
      <c r="B77" s="18" t="inlineStr">
        <is>
          <t>Éducation et Motricité (EM)</t>
        </is>
      </c>
      <c r="C77" s="18" t="inlineStr">
        <is>
          <t>ENSEPS</t>
        </is>
      </c>
      <c r="D77" s="18" t="inlineStr">
        <is>
          <t>Master</t>
        </is>
      </c>
      <c r="E77" s="18" t="inlineStr">
        <is>
          <t>M1</t>
        </is>
      </c>
      <c r="F77" s="18" t="inlineStr">
        <is>
          <t>Semestre 2 (M1/S8)</t>
        </is>
      </c>
      <c r="G77" s="18" t="inlineStr">
        <is>
          <t>Didactique des sports collectifs de renvoi</t>
        </is>
      </c>
      <c r="H77" s="18" t="inlineStr">
        <is>
          <t>Didactique du volleyball</t>
        </is>
      </c>
      <c r="I77" s="17" t="n">
        <v>1</v>
      </c>
      <c r="J77" s="17" t="n">
        <v>3</v>
      </c>
      <c r="K77" s="18" t="inlineStr">
        <is>
          <t>EPS / didactique-pédagogie</t>
        </is>
      </c>
      <c r="L77" s="18" t="inlineStr">
        <is>
          <t>EM|Semestre 2 (M1/S8)|Didactique des sports collectifs de renvoi</t>
        </is>
      </c>
    </row>
    <row r="78">
      <c r="A78" s="4" t="inlineStr">
        <is>
          <t>EM</t>
        </is>
      </c>
      <c r="B78" s="4" t="inlineStr">
        <is>
          <t>Éducation et Motricité (EM)</t>
        </is>
      </c>
      <c r="C78" s="4" t="inlineStr">
        <is>
          <t>ENSEPS</t>
        </is>
      </c>
      <c r="D78" s="4" t="inlineStr">
        <is>
          <t>Master</t>
        </is>
      </c>
      <c r="E78" s="4" t="inlineStr">
        <is>
          <t>M1</t>
        </is>
      </c>
      <c r="F78" s="4" t="inlineStr">
        <is>
          <t>Semestre 2 (M1/S8)</t>
        </is>
      </c>
      <c r="G78" s="4" t="inlineStr">
        <is>
          <t>Didactique des sports athlétiques</t>
        </is>
      </c>
      <c r="H78" s="4" t="inlineStr">
        <is>
          <t>Didactique de l'athlétisme</t>
        </is>
      </c>
      <c r="I78" s="16" t="n">
        <v>1</v>
      </c>
      <c r="J78" s="16" t="n">
        <v>3</v>
      </c>
      <c r="K78" s="4" t="inlineStr">
        <is>
          <t>EPS / didactique-pédagogie</t>
        </is>
      </c>
      <c r="L78" s="4" t="inlineStr">
        <is>
          <t>EM|Semestre 2 (M1/S8)|Didactique des sports athlétiques</t>
        </is>
      </c>
    </row>
    <row r="79">
      <c r="A79" s="18" t="inlineStr">
        <is>
          <t>EM</t>
        </is>
      </c>
      <c r="B79" s="18" t="inlineStr">
        <is>
          <t>Éducation et Motricité (EM)</t>
        </is>
      </c>
      <c r="C79" s="18" t="inlineStr">
        <is>
          <t>ENSEPS</t>
        </is>
      </c>
      <c r="D79" s="18" t="inlineStr">
        <is>
          <t>Master</t>
        </is>
      </c>
      <c r="E79" s="18" t="inlineStr">
        <is>
          <t>M1</t>
        </is>
      </c>
      <c r="F79" s="18" t="inlineStr">
        <is>
          <t>Semestre 2 (M1/S8)</t>
        </is>
      </c>
      <c r="G79" s="18" t="inlineStr">
        <is>
          <t>Didactique des sports collectifs de grand terrain</t>
        </is>
      </c>
      <c r="H79" s="18" t="inlineStr">
        <is>
          <t>ECUE 1 : Didactique du football ; ECUE 2 : Didactique du rugby</t>
        </is>
      </c>
      <c r="I79" s="17" t="n">
        <v>2</v>
      </c>
      <c r="J79" s="17" t="n">
        <v>4</v>
      </c>
      <c r="K79" s="18" t="inlineStr">
        <is>
          <t>EPS / didactique-pédagogie</t>
        </is>
      </c>
      <c r="L79" s="18" t="inlineStr">
        <is>
          <t>EM|Semestre 2 (M1/S8)|Didactique des sports collectifs de grand terrain</t>
        </is>
      </c>
    </row>
    <row r="80">
      <c r="A80" s="4" t="inlineStr">
        <is>
          <t>EM</t>
        </is>
      </c>
      <c r="B80" s="4" t="inlineStr">
        <is>
          <t>Éducation et Motricité (EM)</t>
        </is>
      </c>
      <c r="C80" s="4" t="inlineStr">
        <is>
          <t>ENSEPS</t>
        </is>
      </c>
      <c r="D80" s="4" t="inlineStr">
        <is>
          <t>Master</t>
        </is>
      </c>
      <c r="E80" s="4" t="inlineStr">
        <is>
          <t>M1</t>
        </is>
      </c>
      <c r="F80" s="4" t="inlineStr">
        <is>
          <t>Semestre 2 (M1/S8)</t>
        </is>
      </c>
      <c r="G80" s="4" t="inlineStr">
        <is>
          <t>Professionnalisation</t>
        </is>
      </c>
      <c r="H80" s="4" t="inlineStr">
        <is>
          <t>Stage dans un établissement d'enseignement secondaire ou supérieur</t>
        </is>
      </c>
      <c r="I80" s="16" t="n">
        <v>1</v>
      </c>
      <c r="J80" s="16" t="n">
        <v>5</v>
      </c>
      <c r="K80" s="4" t="inlineStr">
        <is>
          <t>Professionnalisation / stages</t>
        </is>
      </c>
      <c r="L80" s="4" t="inlineStr">
        <is>
          <t>EM|Semestre 2 (M1/S8)|Professionnalisation</t>
        </is>
      </c>
    </row>
    <row r="81">
      <c r="A81" s="18" t="inlineStr">
        <is>
          <t>EM</t>
        </is>
      </c>
      <c r="B81" s="18" t="inlineStr">
        <is>
          <t>Éducation et Motricité (EM)</t>
        </is>
      </c>
      <c r="C81" s="18" t="inlineStr">
        <is>
          <t>ENSEPS</t>
        </is>
      </c>
      <c r="D81" s="18" t="inlineStr">
        <is>
          <t>Master</t>
        </is>
      </c>
      <c r="E81" s="18" t="inlineStr">
        <is>
          <t>M1</t>
        </is>
      </c>
      <c r="F81" s="18" t="inlineStr">
        <is>
          <t>Semestre 2 (M1/S8)</t>
        </is>
      </c>
      <c r="G81" s="18" t="inlineStr">
        <is>
          <t>Méthodologie de la recherche</t>
        </is>
      </c>
      <c r="H81" s="18" t="inlineStr">
        <is>
          <t>Méthodologie de la recherche scientifique 2 : conception des instruments de cueillette de données</t>
        </is>
      </c>
      <c r="I81" s="17" t="n">
        <v>1</v>
      </c>
      <c r="J81" s="17" t="n">
        <v>2</v>
      </c>
      <c r="K81" s="18" t="inlineStr">
        <is>
          <t>Recherche &amp; méthodologie</t>
        </is>
      </c>
      <c r="L81" s="18" t="inlineStr">
        <is>
          <t>EM|Semestre 2 (M1/S8)|Méthodologie de la recherche</t>
        </is>
      </c>
    </row>
    <row r="82">
      <c r="A82" s="4" t="inlineStr">
        <is>
          <t>EM</t>
        </is>
      </c>
      <c r="B82" s="4" t="inlineStr">
        <is>
          <t>Éducation et Motricité (EM)</t>
        </is>
      </c>
      <c r="C82" s="4" t="inlineStr">
        <is>
          <t>ENSEPS</t>
        </is>
      </c>
      <c r="D82" s="4" t="inlineStr">
        <is>
          <t>Master</t>
        </is>
      </c>
      <c r="E82" s="4" t="inlineStr">
        <is>
          <t>M1</t>
        </is>
      </c>
      <c r="F82" s="4" t="inlineStr">
        <is>
          <t>Semestre 2 (M1/S8)</t>
        </is>
      </c>
      <c r="G82" s="4" t="inlineStr">
        <is>
          <t>Formation à la recherche</t>
        </is>
      </c>
      <c r="H82" s="4" t="inlineStr">
        <is>
          <t>Séminaire de recherche en Éducation et Motricité</t>
        </is>
      </c>
      <c r="I82" s="16" t="n">
        <v>1</v>
      </c>
      <c r="J82" s="16" t="n">
        <v>3</v>
      </c>
      <c r="K82" s="4" t="inlineStr">
        <is>
          <t>Recherche &amp; méthodologie</t>
        </is>
      </c>
      <c r="L82" s="4" t="inlineStr">
        <is>
          <t>EM|Semestre 2 (M1/S8)|Formation à la recherche</t>
        </is>
      </c>
    </row>
    <row r="83">
      <c r="A83" s="18" t="inlineStr">
        <is>
          <t>EM</t>
        </is>
      </c>
      <c r="B83" s="18" t="inlineStr">
        <is>
          <t>Éducation et Motricité (EM)</t>
        </is>
      </c>
      <c r="C83" s="18" t="inlineStr">
        <is>
          <t>ENSEPS</t>
        </is>
      </c>
      <c r="D83" s="18" t="inlineStr">
        <is>
          <t>Master</t>
        </is>
      </c>
      <c r="E83" s="18" t="inlineStr">
        <is>
          <t>M1</t>
        </is>
      </c>
      <c r="F83" s="18" t="inlineStr">
        <is>
          <t>Semestre 2 (M1/S8)</t>
        </is>
      </c>
      <c r="G83" s="18" t="inlineStr">
        <is>
          <t>Technique d'expression écrite et orale</t>
        </is>
      </c>
      <c r="H83" s="18" t="inlineStr">
        <is>
          <t>Anglais professionnel</t>
        </is>
      </c>
      <c r="I83" s="17" t="n">
        <v>1</v>
      </c>
      <c r="J83" s="17" t="n">
        <v>2</v>
      </c>
      <c r="K83" s="18" t="inlineStr">
        <is>
          <t>Langues &amp; communication</t>
        </is>
      </c>
      <c r="L83" s="18" t="inlineStr">
        <is>
          <t>EM|Semestre 2 (M1/S8)|Technique d'expression écrite et orale</t>
        </is>
      </c>
    </row>
    <row r="84">
      <c r="A84" s="4" t="inlineStr">
        <is>
          <t>EM</t>
        </is>
      </c>
      <c r="B84" s="4" t="inlineStr">
        <is>
          <t>Éducation et Motricité (EM)</t>
        </is>
      </c>
      <c r="C84" s="4" t="inlineStr">
        <is>
          <t>ENSEPS</t>
        </is>
      </c>
      <c r="D84" s="4" t="inlineStr">
        <is>
          <t>Master</t>
        </is>
      </c>
      <c r="E84" s="4" t="inlineStr">
        <is>
          <t>M1</t>
        </is>
      </c>
      <c r="F84" s="4" t="inlineStr">
        <is>
          <t>Semestre 2 (M1/S8)</t>
        </is>
      </c>
      <c r="G84" s="4" t="inlineStr">
        <is>
          <t>Administration publique et déontologie</t>
        </is>
      </c>
      <c r="H84" s="4" t="inlineStr">
        <is>
          <t>Rédaction et informations administratives</t>
        </is>
      </c>
      <c r="I84" s="16" t="n">
        <v>1</v>
      </c>
      <c r="J84" s="16" t="n">
        <v>3</v>
      </c>
      <c r="K84" s="4" t="inlineStr">
        <is>
          <t>Transversal / civique / secourisme</t>
        </is>
      </c>
      <c r="L84" s="4" t="inlineStr">
        <is>
          <t>EM|Semestre 2 (M1/S8)|Administration publique et déontologie</t>
        </is>
      </c>
    </row>
    <row r="85">
      <c r="A85" s="18" t="inlineStr">
        <is>
          <t>EM</t>
        </is>
      </c>
      <c r="B85" s="18" t="inlineStr">
        <is>
          <t>Éducation et Motricité (EM)</t>
        </is>
      </c>
      <c r="C85" s="18" t="inlineStr">
        <is>
          <t>ENSEPS</t>
        </is>
      </c>
      <c r="D85" s="18" t="inlineStr">
        <is>
          <t>Master</t>
        </is>
      </c>
      <c r="E85" s="18" t="inlineStr">
        <is>
          <t>M2</t>
        </is>
      </c>
      <c r="F85" s="18" t="inlineStr">
        <is>
          <t>Semestre 3 (M2/S9)</t>
        </is>
      </c>
      <c r="G85" s="18" t="inlineStr">
        <is>
          <t>Professionnalisation</t>
        </is>
      </c>
      <c r="H85" s="18" t="inlineStr">
        <is>
          <t>Stage milieu professionnel</t>
        </is>
      </c>
      <c r="I85" s="17" t="n">
        <v>1</v>
      </c>
      <c r="J85" s="17" t="n">
        <v>15</v>
      </c>
      <c r="K85" s="18" t="inlineStr">
        <is>
          <t>Professionnalisation / stages</t>
        </is>
      </c>
      <c r="L85" s="18" t="inlineStr">
        <is>
          <t>EM|Semestre 3 (M2/S9)|Professionnalisation</t>
        </is>
      </c>
    </row>
    <row r="86">
      <c r="A86" s="4" t="inlineStr">
        <is>
          <t>EM</t>
        </is>
      </c>
      <c r="B86" s="4" t="inlineStr">
        <is>
          <t>Éducation et Motricité (EM)</t>
        </is>
      </c>
      <c r="C86" s="4" t="inlineStr">
        <is>
          <t>ENSEPS</t>
        </is>
      </c>
      <c r="D86" s="4" t="inlineStr">
        <is>
          <t>Master</t>
        </is>
      </c>
      <c r="E86" s="4" t="inlineStr">
        <is>
          <t>M2</t>
        </is>
      </c>
      <c r="F86" s="4" t="inlineStr">
        <is>
          <t>Semestre 3 (M2/S9)</t>
        </is>
      </c>
      <c r="G86" s="4" t="inlineStr">
        <is>
          <t>Formation à la recherche</t>
        </is>
      </c>
      <c r="H86" s="4" t="inlineStr">
        <is>
          <t>Séminaire de recherche 3</t>
        </is>
      </c>
      <c r="I86" s="16" t="n">
        <v>1</v>
      </c>
      <c r="J86" s="16" t="n">
        <v>7</v>
      </c>
      <c r="K86" s="4" t="inlineStr">
        <is>
          <t>Recherche &amp; méthodologie</t>
        </is>
      </c>
      <c r="L86" s="4" t="inlineStr">
        <is>
          <t>EM|Semestre 3 (M2/S9)|Formation à la recherche</t>
        </is>
      </c>
    </row>
    <row r="87">
      <c r="A87" s="18" t="inlineStr">
        <is>
          <t>EM</t>
        </is>
      </c>
      <c r="B87" s="18" t="inlineStr">
        <is>
          <t>Éducation et Motricité (EM)</t>
        </is>
      </c>
      <c r="C87" s="18" t="inlineStr">
        <is>
          <t>ENSEPS</t>
        </is>
      </c>
      <c r="D87" s="18" t="inlineStr">
        <is>
          <t>Master</t>
        </is>
      </c>
      <c r="E87" s="18" t="inlineStr">
        <is>
          <t>M2</t>
        </is>
      </c>
      <c r="F87" s="18" t="inlineStr">
        <is>
          <t>Semestre 3 (M2/S9)</t>
        </is>
      </c>
      <c r="G87" s="18" t="inlineStr">
        <is>
          <t>Méthodologie de la recherche</t>
        </is>
      </c>
      <c r="H87" s="18" t="inlineStr">
        <is>
          <t>ECUE 1 : Méthodologie de la recherche scientifique 3 : analyse des données et discussion ; ECUE 2 : Statistiques descriptives et inférentielles 2</t>
        </is>
      </c>
      <c r="I87" s="17" t="n">
        <v>2</v>
      </c>
      <c r="J87" s="17" t="n">
        <v>8</v>
      </c>
      <c r="K87" s="18" t="inlineStr">
        <is>
          <t>Recherche &amp; méthodologie</t>
        </is>
      </c>
      <c r="L87" s="18" t="inlineStr">
        <is>
          <t>EM|Semestre 3 (M2/S9)|Méthodologie de la recherche</t>
        </is>
      </c>
    </row>
    <row r="88">
      <c r="A88" s="4" t="inlineStr">
        <is>
          <t>EM</t>
        </is>
      </c>
      <c r="B88" s="4" t="inlineStr">
        <is>
          <t>Éducation et Motricité (EM)</t>
        </is>
      </c>
      <c r="C88" s="4" t="inlineStr">
        <is>
          <t>ENSEPS</t>
        </is>
      </c>
      <c r="D88" s="4" t="inlineStr">
        <is>
          <t>Master</t>
        </is>
      </c>
      <c r="E88" s="4" t="inlineStr">
        <is>
          <t>M2</t>
        </is>
      </c>
      <c r="F88" s="4" t="inlineStr">
        <is>
          <t>Semestre 4 (M2/S10)</t>
        </is>
      </c>
      <c r="G88" s="4" t="inlineStr">
        <is>
          <t>Formation à la recherche</t>
        </is>
      </c>
      <c r="H88" s="4" t="inlineStr">
        <is>
          <t>Travaux de recherche : mémoire</t>
        </is>
      </c>
      <c r="I88" s="16" t="n">
        <v>1</v>
      </c>
      <c r="J88" s="16" t="n">
        <v>15</v>
      </c>
      <c r="K88" s="4" t="inlineStr">
        <is>
          <t>Recherche &amp; méthodologie</t>
        </is>
      </c>
      <c r="L88" s="4" t="inlineStr">
        <is>
          <t>EM|Semestre 4 (M2/S10)|Formation à la recherche</t>
        </is>
      </c>
    </row>
    <row r="89">
      <c r="A89" s="18" t="inlineStr">
        <is>
          <t>EM</t>
        </is>
      </c>
      <c r="B89" s="18" t="inlineStr">
        <is>
          <t>Éducation et Motricité (EM)</t>
        </is>
      </c>
      <c r="C89" s="18" t="inlineStr">
        <is>
          <t>ENSEPS</t>
        </is>
      </c>
      <c r="D89" s="18" t="inlineStr">
        <is>
          <t>Master</t>
        </is>
      </c>
      <c r="E89" s="18" t="inlineStr">
        <is>
          <t>M2</t>
        </is>
      </c>
      <c r="F89" s="18" t="inlineStr">
        <is>
          <t>Semestre 4 (M2/S10)</t>
        </is>
      </c>
      <c r="G89" s="18" t="inlineStr">
        <is>
          <t>Formation professionnelle</t>
        </is>
      </c>
      <c r="H89" s="18" t="inlineStr">
        <is>
          <t>Stage milieu professionnel</t>
        </is>
      </c>
      <c r="I89" s="17" t="n">
        <v>1</v>
      </c>
      <c r="J89" s="17" t="n">
        <v>15</v>
      </c>
      <c r="K89" s="18" t="inlineStr">
        <is>
          <t>Professionnalisation / stages</t>
        </is>
      </c>
      <c r="L89" s="18" t="inlineStr">
        <is>
          <t>EM|Semestre 4 (M2/S10)|Formation professionnelle</t>
        </is>
      </c>
    </row>
    <row r="90">
      <c r="A90" s="4" t="inlineStr">
        <is>
          <t>MS</t>
        </is>
      </c>
      <c r="B90" s="4" t="inlineStr">
        <is>
          <t>Management du Sport (MS)</t>
        </is>
      </c>
      <c r="C90" s="4" t="inlineStr">
        <is>
          <t>ENSEPS</t>
        </is>
      </c>
      <c r="D90" s="4" t="inlineStr">
        <is>
          <t>Licence</t>
        </is>
      </c>
      <c r="E90" s="4" t="inlineStr">
        <is>
          <t>L1</t>
        </is>
      </c>
      <c r="F90" s="4" t="inlineStr">
        <is>
          <t>Semestre 1</t>
        </is>
      </c>
      <c r="G90" s="4" t="inlineStr">
        <is>
          <t>Sciences de la vie et de la santé</t>
        </is>
      </c>
      <c r="H90" s="4" t="inlineStr">
        <is>
          <t>ECUE 1 : Anatomie descriptive du squelette appendiculaire ; ECUE 2 : Anatomie fonctionnelle du corps humain</t>
        </is>
      </c>
      <c r="I90" s="16" t="n">
        <v>2</v>
      </c>
      <c r="J90" s="16" t="n">
        <v>6</v>
      </c>
      <c r="K90" s="4" t="inlineStr">
        <is>
          <t>Sciences biomédicales</t>
        </is>
      </c>
      <c r="L90" s="4" t="inlineStr">
        <is>
          <t>MS|Semestre 1|Sciences de la vie et de la santé</t>
        </is>
      </c>
    </row>
    <row r="91">
      <c r="A91" s="18" t="inlineStr">
        <is>
          <t>MS</t>
        </is>
      </c>
      <c r="B91" s="18" t="inlineStr">
        <is>
          <t>Management du Sport (MS)</t>
        </is>
      </c>
      <c r="C91" s="18" t="inlineStr">
        <is>
          <t>ENSEPS</t>
        </is>
      </c>
      <c r="D91" s="18" t="inlineStr">
        <is>
          <t>Licence</t>
        </is>
      </c>
      <c r="E91" s="18" t="inlineStr">
        <is>
          <t>L1</t>
        </is>
      </c>
      <c r="F91" s="18" t="inlineStr">
        <is>
          <t>Semestre 1</t>
        </is>
      </c>
      <c r="G91" s="18" t="inlineStr">
        <is>
          <t>Sciences humaines et sociales</t>
        </is>
      </c>
      <c r="H91" s="18" t="inlineStr">
        <is>
          <t>ECUE 1 : Introduction à la psychologie générale ; ECUE 2 : Psychologie de l'apprentissage et du développement</t>
        </is>
      </c>
      <c r="I91" s="17" t="n">
        <v>2</v>
      </c>
      <c r="J91" s="17" t="n">
        <v>4</v>
      </c>
      <c r="K91" s="18" t="inlineStr">
        <is>
          <t>Sciences humaines &amp; sociales</t>
        </is>
      </c>
      <c r="L91" s="18" t="inlineStr">
        <is>
          <t>MS|Semestre 1|Sciences humaines et sociales</t>
        </is>
      </c>
    </row>
    <row r="92">
      <c r="A92" s="4" t="inlineStr">
        <is>
          <t>MS</t>
        </is>
      </c>
      <c r="B92" s="4" t="inlineStr">
        <is>
          <t>Management du Sport (MS)</t>
        </is>
      </c>
      <c r="C92" s="4" t="inlineStr">
        <is>
          <t>ENSEPS</t>
        </is>
      </c>
      <c r="D92" s="4" t="inlineStr">
        <is>
          <t>Licence</t>
        </is>
      </c>
      <c r="E92" s="4" t="inlineStr">
        <is>
          <t>L1</t>
        </is>
      </c>
      <c r="F92" s="4" t="inlineStr">
        <is>
          <t>Semestre 1</t>
        </is>
      </c>
      <c r="G92" s="4" t="inlineStr">
        <is>
          <t>Sciences de l'intervention</t>
        </is>
      </c>
      <c r="H92" s="4" t="inlineStr">
        <is>
          <t>Concepts de base en intervention des APS</t>
        </is>
      </c>
      <c r="I92" s="16" t="n">
        <v>1</v>
      </c>
      <c r="J92" s="16" t="n">
        <v>2</v>
      </c>
      <c r="K92" s="4" t="inlineStr">
        <is>
          <t>EPS / didactique-pédagogie</t>
        </is>
      </c>
      <c r="L92" s="4" t="inlineStr">
        <is>
          <t>MS|Semestre 1|Sciences de l'intervention</t>
        </is>
      </c>
    </row>
    <row r="93">
      <c r="A93" s="18" t="inlineStr">
        <is>
          <t>MS</t>
        </is>
      </c>
      <c r="B93" s="18" t="inlineStr">
        <is>
          <t>Management du Sport (MS)</t>
        </is>
      </c>
      <c r="C93" s="18" t="inlineStr">
        <is>
          <t>ENSEPS</t>
        </is>
      </c>
      <c r="D93" s="18" t="inlineStr">
        <is>
          <t>Licence</t>
        </is>
      </c>
      <c r="E93" s="18" t="inlineStr">
        <is>
          <t>L1</t>
        </is>
      </c>
      <c r="F93" s="18" t="inlineStr">
        <is>
          <t>Semestre 1</t>
        </is>
      </c>
      <c r="G93" s="18" t="inlineStr">
        <is>
          <t>Initiation aux fondamentaux du football</t>
        </is>
      </c>
      <c r="H93" s="18" t="inlineStr">
        <is>
          <t>Football : Fondamentaux</t>
        </is>
      </c>
      <c r="I93" s="17" t="n">
        <v>1</v>
      </c>
      <c r="J93" s="17" t="n">
        <v>3</v>
      </c>
      <c r="K93" s="18" t="inlineStr">
        <is>
          <t>Pratiques sportives (APS)</t>
        </is>
      </c>
      <c r="L93" s="18" t="inlineStr">
        <is>
          <t>MS|Semestre 1|Initiation aux fondamentaux du football</t>
        </is>
      </c>
    </row>
    <row r="94">
      <c r="A94" s="4" t="inlineStr">
        <is>
          <t>MS</t>
        </is>
      </c>
      <c r="B94" s="4" t="inlineStr">
        <is>
          <t>Management du Sport (MS)</t>
        </is>
      </c>
      <c r="C94" s="4" t="inlineStr">
        <is>
          <t>ENSEPS</t>
        </is>
      </c>
      <c r="D94" s="4" t="inlineStr">
        <is>
          <t>Licence</t>
        </is>
      </c>
      <c r="E94" s="4" t="inlineStr">
        <is>
          <t>L1</t>
        </is>
      </c>
      <c r="F94" s="4" t="inlineStr">
        <is>
          <t>Semestre 1</t>
        </is>
      </c>
      <c r="G94" s="4" t="inlineStr">
        <is>
          <t>Initiation aux fondamentaux du handball</t>
        </is>
      </c>
      <c r="H94" s="4" t="inlineStr">
        <is>
          <t>Handball : Fondamentaux</t>
        </is>
      </c>
      <c r="I94" s="16" t="n">
        <v>1</v>
      </c>
      <c r="J94" s="16" t="n">
        <v>3</v>
      </c>
      <c r="K94" s="4" t="inlineStr">
        <is>
          <t>Pratiques sportives (APS)</t>
        </is>
      </c>
      <c r="L94" s="4" t="inlineStr">
        <is>
          <t>MS|Semestre 1|Initiation aux fondamentaux du handball</t>
        </is>
      </c>
    </row>
    <row r="95">
      <c r="A95" s="18" t="inlineStr">
        <is>
          <t>MS</t>
        </is>
      </c>
      <c r="B95" s="18" t="inlineStr">
        <is>
          <t>Management du Sport (MS)</t>
        </is>
      </c>
      <c r="C95" s="18" t="inlineStr">
        <is>
          <t>ENSEPS</t>
        </is>
      </c>
      <c r="D95" s="18" t="inlineStr">
        <is>
          <t>Licence</t>
        </is>
      </c>
      <c r="E95" s="18" t="inlineStr">
        <is>
          <t>L1</t>
        </is>
      </c>
      <c r="F95" s="18" t="inlineStr">
        <is>
          <t>Semestre 1</t>
        </is>
      </c>
      <c r="G95" s="18" t="inlineStr">
        <is>
          <t>Initiation aux fondamentaux de la gymnastique</t>
        </is>
      </c>
      <c r="H95" s="18" t="inlineStr">
        <is>
          <t>Gymnastique : Fondamentaux</t>
        </is>
      </c>
      <c r="I95" s="17" t="n">
        <v>1</v>
      </c>
      <c r="J95" s="17" t="n">
        <v>2</v>
      </c>
      <c r="K95" s="18" t="inlineStr">
        <is>
          <t>Pratiques sportives (APS)</t>
        </is>
      </c>
      <c r="L95" s="18" t="inlineStr">
        <is>
          <t>MS|Semestre 1|Initiation aux fondamentaux de la gymnastique</t>
        </is>
      </c>
    </row>
    <row r="96">
      <c r="A96" s="4" t="inlineStr">
        <is>
          <t>MS</t>
        </is>
      </c>
      <c r="B96" s="4" t="inlineStr">
        <is>
          <t>Management du Sport (MS)</t>
        </is>
      </c>
      <c r="C96" s="4" t="inlineStr">
        <is>
          <t>ENSEPS</t>
        </is>
      </c>
      <c r="D96" s="4" t="inlineStr">
        <is>
          <t>Licence</t>
        </is>
      </c>
      <c r="E96" s="4" t="inlineStr">
        <is>
          <t>L1</t>
        </is>
      </c>
      <c r="F96" s="4" t="inlineStr">
        <is>
          <t>Semestre 1</t>
        </is>
      </c>
      <c r="G96" s="4" t="inlineStr">
        <is>
          <t>Initiation aux fondamentaux de l'athlétisme</t>
        </is>
      </c>
      <c r="H96" s="4" t="inlineStr">
        <is>
          <t>Fondamentaux des courses et des sauts</t>
        </is>
      </c>
      <c r="I96" s="16" t="n">
        <v>1</v>
      </c>
      <c r="J96" s="16" t="n">
        <v>3</v>
      </c>
      <c r="K96" s="4" t="inlineStr">
        <is>
          <t>Pratiques sportives (APS)</t>
        </is>
      </c>
      <c r="L96" s="4" t="inlineStr">
        <is>
          <t>MS|Semestre 1|Initiation aux fondamentaux de l'athlétisme</t>
        </is>
      </c>
    </row>
    <row r="97">
      <c r="A97" s="18" t="inlineStr">
        <is>
          <t>MS</t>
        </is>
      </c>
      <c r="B97" s="18" t="inlineStr">
        <is>
          <t>Management du Sport (MS)</t>
        </is>
      </c>
      <c r="C97" s="18" t="inlineStr">
        <is>
          <t>ENSEPS</t>
        </is>
      </c>
      <c r="D97" s="18" t="inlineStr">
        <is>
          <t>Licence</t>
        </is>
      </c>
      <c r="E97" s="18" t="inlineStr">
        <is>
          <t>L1</t>
        </is>
      </c>
      <c r="F97" s="18" t="inlineStr">
        <is>
          <t>Semestre 1</t>
        </is>
      </c>
      <c r="G97" s="18" t="inlineStr">
        <is>
          <t>Spécialisation théorique et pratique dans une APS</t>
        </is>
      </c>
      <c r="H97" s="18" t="inlineStr">
        <is>
          <t>APS de spécialité (choix d'un sport de spécialité)</t>
        </is>
      </c>
      <c r="I97" s="17" t="n">
        <v>1</v>
      </c>
      <c r="J97" s="17" t="n">
        <v>3</v>
      </c>
      <c r="K97" s="18" t="inlineStr">
        <is>
          <t>Pratiques sportives (APS)</t>
        </is>
      </c>
      <c r="L97" s="18" t="inlineStr">
        <is>
          <t>MS|Semestre 1|Spécialisation théorique et pratique dans une APS</t>
        </is>
      </c>
    </row>
    <row r="98">
      <c r="A98" s="4" t="inlineStr">
        <is>
          <t>MS</t>
        </is>
      </c>
      <c r="B98" s="4" t="inlineStr">
        <is>
          <t>Management du Sport (MS)</t>
        </is>
      </c>
      <c r="C98" s="4" t="inlineStr">
        <is>
          <t>ENSEPS</t>
        </is>
      </c>
      <c r="D98" s="4" t="inlineStr">
        <is>
          <t>Licence</t>
        </is>
      </c>
      <c r="E98" s="4" t="inlineStr">
        <is>
          <t>L1</t>
        </is>
      </c>
      <c r="F98" s="4" t="inlineStr">
        <is>
          <t>Semestre 1</t>
        </is>
      </c>
      <c r="G98" s="4" t="inlineStr">
        <is>
          <t>Techniques de communication écrite et orale</t>
        </is>
      </c>
      <c r="H98" s="4" t="inlineStr">
        <is>
          <t>ECUE 1 : Étude des styles de rédaction en langue française ; ECUE 2 : Anglais : vocabulaire du sport</t>
        </is>
      </c>
      <c r="I98" s="16" t="n">
        <v>2</v>
      </c>
      <c r="J98" s="16" t="n">
        <v>4</v>
      </c>
      <c r="K98" s="4" t="inlineStr">
        <is>
          <t>Langues &amp; communication</t>
        </is>
      </c>
      <c r="L98" s="4" t="inlineStr">
        <is>
          <t>MS|Semestre 1|Techniques de communication écrite et orale</t>
        </is>
      </c>
    </row>
    <row r="99">
      <c r="A99" s="18" t="inlineStr">
        <is>
          <t>MS</t>
        </is>
      </c>
      <c r="B99" s="18" t="inlineStr">
        <is>
          <t>Management du Sport (MS)</t>
        </is>
      </c>
      <c r="C99" s="18" t="inlineStr">
        <is>
          <t>ENSEPS</t>
        </is>
      </c>
      <c r="D99" s="18" t="inlineStr">
        <is>
          <t>Licence</t>
        </is>
      </c>
      <c r="E99" s="18" t="inlineStr">
        <is>
          <t>L1</t>
        </is>
      </c>
      <c r="F99" s="18" t="inlineStr">
        <is>
          <t>Semestre 2</t>
        </is>
      </c>
      <c r="G99" s="18" t="inlineStr">
        <is>
          <t>Sciences de la vie et de la santé</t>
        </is>
      </c>
      <c r="H99" s="18" t="inlineStr">
        <is>
          <t>ECUE 1 : Physiologie neuromusculaire, métabolisme et APS ; ECUE 2 : Physiologie des grandes fonctions</t>
        </is>
      </c>
      <c r="I99" s="17" t="n">
        <v>2</v>
      </c>
      <c r="J99" s="17" t="n">
        <v>6</v>
      </c>
      <c r="K99" s="18" t="inlineStr">
        <is>
          <t>Sciences biomédicales</t>
        </is>
      </c>
      <c r="L99" s="18" t="inlineStr">
        <is>
          <t>MS|Semestre 2|Sciences de la vie et de la santé</t>
        </is>
      </c>
    </row>
    <row r="100">
      <c r="A100" s="4" t="inlineStr">
        <is>
          <t>MS</t>
        </is>
      </c>
      <c r="B100" s="4" t="inlineStr">
        <is>
          <t>Management du Sport (MS)</t>
        </is>
      </c>
      <c r="C100" s="4" t="inlineStr">
        <is>
          <t>ENSEPS</t>
        </is>
      </c>
      <c r="D100" s="4" t="inlineStr">
        <is>
          <t>Licence</t>
        </is>
      </c>
      <c r="E100" s="4" t="inlineStr">
        <is>
          <t>L1</t>
        </is>
      </c>
      <c r="F100" s="4" t="inlineStr">
        <is>
          <t>Semestre 2</t>
        </is>
      </c>
      <c r="G100" s="4" t="inlineStr">
        <is>
          <t>Sciences humaines et sociales 1</t>
        </is>
      </c>
      <c r="H100" s="4" t="inlineStr">
        <is>
          <t>ECUE 1 : Introduction à la sociologie ; ECUE 2 : Sociologie du jeu et des APS</t>
        </is>
      </c>
      <c r="I100" s="16" t="n">
        <v>2</v>
      </c>
      <c r="J100" s="16" t="n">
        <v>4</v>
      </c>
      <c r="K100" s="4" t="inlineStr">
        <is>
          <t>Sciences humaines &amp; sociales</t>
        </is>
      </c>
      <c r="L100" s="4" t="inlineStr">
        <is>
          <t>MS|Semestre 2|Sciences humaines et sociales 1</t>
        </is>
      </c>
    </row>
    <row r="101">
      <c r="A101" s="18" t="inlineStr">
        <is>
          <t>MS</t>
        </is>
      </c>
      <c r="B101" s="18" t="inlineStr">
        <is>
          <t>Management du Sport (MS)</t>
        </is>
      </c>
      <c r="C101" s="18" t="inlineStr">
        <is>
          <t>ENSEPS</t>
        </is>
      </c>
      <c r="D101" s="18" t="inlineStr">
        <is>
          <t>Licence</t>
        </is>
      </c>
      <c r="E101" s="18" t="inlineStr">
        <is>
          <t>L1</t>
        </is>
      </c>
      <c r="F101" s="18" t="inlineStr">
        <is>
          <t>Semestre 2</t>
        </is>
      </c>
      <c r="G101" s="18" t="inlineStr">
        <is>
          <t>Initiation aux fondamentaux du rugby</t>
        </is>
      </c>
      <c r="H101" s="18" t="inlineStr">
        <is>
          <t>Rugby : Fondamentaux</t>
        </is>
      </c>
      <c r="I101" s="17" t="n">
        <v>1</v>
      </c>
      <c r="J101" s="17" t="n">
        <v>3</v>
      </c>
      <c r="K101" s="18" t="inlineStr">
        <is>
          <t>Pratiques sportives (APS)</t>
        </is>
      </c>
      <c r="L101" s="18" t="inlineStr">
        <is>
          <t>MS|Semestre 2|Initiation aux fondamentaux du rugby</t>
        </is>
      </c>
    </row>
    <row r="102">
      <c r="A102" s="4" t="inlineStr">
        <is>
          <t>MS</t>
        </is>
      </c>
      <c r="B102" s="4" t="inlineStr">
        <is>
          <t>Management du Sport (MS)</t>
        </is>
      </c>
      <c r="C102" s="4" t="inlineStr">
        <is>
          <t>ENSEPS</t>
        </is>
      </c>
      <c r="D102" s="4" t="inlineStr">
        <is>
          <t>Licence</t>
        </is>
      </c>
      <c r="E102" s="4" t="inlineStr">
        <is>
          <t>L1</t>
        </is>
      </c>
      <c r="F102" s="4" t="inlineStr">
        <is>
          <t>Semestre 2</t>
        </is>
      </c>
      <c r="G102" s="4" t="inlineStr">
        <is>
          <t>Initiation aux fondamentaux du basketball</t>
        </is>
      </c>
      <c r="H102" s="4" t="inlineStr">
        <is>
          <t>Basketball : Fondamentaux</t>
        </is>
      </c>
      <c r="I102" s="16" t="n">
        <v>1</v>
      </c>
      <c r="J102" s="16" t="n">
        <v>3</v>
      </c>
      <c r="K102" s="4" t="inlineStr">
        <is>
          <t>Pratiques sportives (APS)</t>
        </is>
      </c>
      <c r="L102" s="4" t="inlineStr">
        <is>
          <t>MS|Semestre 2|Initiation aux fondamentaux du basketball</t>
        </is>
      </c>
    </row>
    <row r="103">
      <c r="A103" s="18" t="inlineStr">
        <is>
          <t>MS</t>
        </is>
      </c>
      <c r="B103" s="18" t="inlineStr">
        <is>
          <t>Management du Sport (MS)</t>
        </is>
      </c>
      <c r="C103" s="18" t="inlineStr">
        <is>
          <t>ENSEPS</t>
        </is>
      </c>
      <c r="D103" s="18" t="inlineStr">
        <is>
          <t>Licence</t>
        </is>
      </c>
      <c r="E103" s="18" t="inlineStr">
        <is>
          <t>L1</t>
        </is>
      </c>
      <c r="F103" s="18" t="inlineStr">
        <is>
          <t>Semestre 2</t>
        </is>
      </c>
      <c r="G103" s="18" t="inlineStr">
        <is>
          <t>Initiation aux fondamentaux de la gymnastique II</t>
        </is>
      </c>
      <c r="H103" s="18" t="inlineStr">
        <is>
          <t>Gymnastique 2 : fondamentaux</t>
        </is>
      </c>
      <c r="I103" s="17" t="n">
        <v>1</v>
      </c>
      <c r="J103" s="17" t="n">
        <v>3</v>
      </c>
      <c r="K103" s="18" t="inlineStr">
        <is>
          <t>Pratiques sportives (APS)</t>
        </is>
      </c>
      <c r="L103" s="18" t="inlineStr">
        <is>
          <t>MS|Semestre 2|Initiation aux fondamentaux de la gymnastique II</t>
        </is>
      </c>
    </row>
    <row r="104">
      <c r="A104" s="4" t="inlineStr">
        <is>
          <t>MS</t>
        </is>
      </c>
      <c r="B104" s="4" t="inlineStr">
        <is>
          <t>Management du Sport (MS)</t>
        </is>
      </c>
      <c r="C104" s="4" t="inlineStr">
        <is>
          <t>ENSEPS</t>
        </is>
      </c>
      <c r="D104" s="4" t="inlineStr">
        <is>
          <t>Licence</t>
        </is>
      </c>
      <c r="E104" s="4" t="inlineStr">
        <is>
          <t>L1</t>
        </is>
      </c>
      <c r="F104" s="4" t="inlineStr">
        <is>
          <t>Semestre 2</t>
        </is>
      </c>
      <c r="G104" s="4" t="inlineStr">
        <is>
          <t>Initiation aux fondamentaux de l'athlétisme II</t>
        </is>
      </c>
      <c r="H104" s="4" t="inlineStr">
        <is>
          <t>Fondamentaux des courses de vitesse et des lancers</t>
        </is>
      </c>
      <c r="I104" s="16" t="n">
        <v>1</v>
      </c>
      <c r="J104" s="16" t="n">
        <v>3</v>
      </c>
      <c r="K104" s="4" t="inlineStr">
        <is>
          <t>Pratiques sportives (APS)</t>
        </is>
      </c>
      <c r="L104" s="4" t="inlineStr">
        <is>
          <t>MS|Semestre 2|Initiation aux fondamentaux de l'athlétisme II</t>
        </is>
      </c>
    </row>
    <row r="105">
      <c r="A105" s="18" t="inlineStr">
        <is>
          <t>MS</t>
        </is>
      </c>
      <c r="B105" s="18" t="inlineStr">
        <is>
          <t>Management du Sport (MS)</t>
        </is>
      </c>
      <c r="C105" s="18" t="inlineStr">
        <is>
          <t>ENSEPS</t>
        </is>
      </c>
      <c r="D105" s="18" t="inlineStr">
        <is>
          <t>Licence</t>
        </is>
      </c>
      <c r="E105" s="18" t="inlineStr">
        <is>
          <t>L1</t>
        </is>
      </c>
      <c r="F105" s="18" t="inlineStr">
        <is>
          <t>Semestre 2</t>
        </is>
      </c>
      <c r="G105" s="18" t="inlineStr">
        <is>
          <t>Spécialisation théorique et pratique dans une APS</t>
        </is>
      </c>
      <c r="H105" s="18" t="inlineStr">
        <is>
          <t>APS de spécialité (choix d'un sport de spécialité)</t>
        </is>
      </c>
      <c r="I105" s="17" t="n">
        <v>1</v>
      </c>
      <c r="J105" s="17" t="n">
        <v>3</v>
      </c>
      <c r="K105" s="18" t="inlineStr">
        <is>
          <t>Pratiques sportives (APS)</t>
        </is>
      </c>
      <c r="L105" s="18" t="inlineStr">
        <is>
          <t>MS|Semestre 2|Spécialisation théorique et pratique dans une APS</t>
        </is>
      </c>
    </row>
    <row r="106">
      <c r="A106" s="4" t="inlineStr">
        <is>
          <t>MS</t>
        </is>
      </c>
      <c r="B106" s="4" t="inlineStr">
        <is>
          <t>Management du Sport (MS)</t>
        </is>
      </c>
      <c r="C106" s="4" t="inlineStr">
        <is>
          <t>ENSEPS</t>
        </is>
      </c>
      <c r="D106" s="4" t="inlineStr">
        <is>
          <t>Licence</t>
        </is>
      </c>
      <c r="E106" s="4" t="inlineStr">
        <is>
          <t>L1</t>
        </is>
      </c>
      <c r="F106" s="4" t="inlineStr">
        <is>
          <t>Semestre 2</t>
        </is>
      </c>
      <c r="G106" s="4" t="inlineStr">
        <is>
          <t>Initiation à l'environnement des TIC</t>
        </is>
      </c>
      <c r="H106" s="4" t="inlineStr">
        <is>
          <t>Formation à Microsoft Office Word</t>
        </is>
      </c>
      <c r="I106" s="16" t="n">
        <v>1</v>
      </c>
      <c r="J106" s="16" t="n">
        <v>1</v>
      </c>
      <c r="K106" s="4" t="inlineStr">
        <is>
          <t>TIC / bureautique</t>
        </is>
      </c>
      <c r="L106" s="4" t="inlineStr">
        <is>
          <t>MS|Semestre 2|Initiation à l'environnement des TIC</t>
        </is>
      </c>
    </row>
    <row r="107">
      <c r="A107" s="18" t="inlineStr">
        <is>
          <t>MS</t>
        </is>
      </c>
      <c r="B107" s="18" t="inlineStr">
        <is>
          <t>Management du Sport (MS)</t>
        </is>
      </c>
      <c r="C107" s="18" t="inlineStr">
        <is>
          <t>ENSEPS</t>
        </is>
      </c>
      <c r="D107" s="18" t="inlineStr">
        <is>
          <t>Licence</t>
        </is>
      </c>
      <c r="E107" s="18" t="inlineStr">
        <is>
          <t>L1</t>
        </is>
      </c>
      <c r="F107" s="18" t="inlineStr">
        <is>
          <t>Semestre 2</t>
        </is>
      </c>
      <c r="G107" s="18" t="inlineStr">
        <is>
          <t>Techniques de communication écrite et orale</t>
        </is>
      </c>
      <c r="H107" s="18" t="inlineStr">
        <is>
          <t>ECUE 1 : Anglais : communication orale (People and places) ; ECUE 2 : Français : expression orale et prise de parole en public</t>
        </is>
      </c>
      <c r="I107" s="17" t="n">
        <v>2</v>
      </c>
      <c r="J107" s="17" t="n">
        <v>4</v>
      </c>
      <c r="K107" s="18" t="inlineStr">
        <is>
          <t>Langues &amp; communication</t>
        </is>
      </c>
      <c r="L107" s="18" t="inlineStr">
        <is>
          <t>MS|Semestre 2|Techniques de communication écrite et orale</t>
        </is>
      </c>
    </row>
    <row r="108">
      <c r="A108" s="4" t="inlineStr">
        <is>
          <t>MS</t>
        </is>
      </c>
      <c r="B108" s="4" t="inlineStr">
        <is>
          <t>Management du Sport (MS)</t>
        </is>
      </c>
      <c r="C108" s="4" t="inlineStr">
        <is>
          <t>ENSEPS</t>
        </is>
      </c>
      <c r="D108" s="4" t="inlineStr">
        <is>
          <t>Licence</t>
        </is>
      </c>
      <c r="E108" s="4" t="inlineStr">
        <is>
          <t>L2</t>
        </is>
      </c>
      <c r="F108" s="4" t="inlineStr">
        <is>
          <t>Semestre 3</t>
        </is>
      </c>
      <c r="G108" s="4" t="inlineStr">
        <is>
          <t>Sciences de la vie et de la santé</t>
        </is>
      </c>
      <c r="H108" s="4" t="inlineStr">
        <is>
          <t>ECUE 1 : Nutrition et APS ; ECUE 2 : Biomécanique du geste</t>
        </is>
      </c>
      <c r="I108" s="16" t="n">
        <v>2</v>
      </c>
      <c r="J108" s="16" t="n">
        <v>4</v>
      </c>
      <c r="K108" s="4" t="inlineStr">
        <is>
          <t>Sciences biomédicales</t>
        </is>
      </c>
      <c r="L108" s="4" t="inlineStr">
        <is>
          <t>MS|Semestre 3|Sciences de la vie et de la santé</t>
        </is>
      </c>
    </row>
    <row r="109">
      <c r="A109" s="18" t="inlineStr">
        <is>
          <t>MS</t>
        </is>
      </c>
      <c r="B109" s="18" t="inlineStr">
        <is>
          <t>Management du Sport (MS)</t>
        </is>
      </c>
      <c r="C109" s="18" t="inlineStr">
        <is>
          <t>ENSEPS</t>
        </is>
      </c>
      <c r="D109" s="18" t="inlineStr">
        <is>
          <t>Licence</t>
        </is>
      </c>
      <c r="E109" s="18" t="inlineStr">
        <is>
          <t>L2</t>
        </is>
      </c>
      <c r="F109" s="18" t="inlineStr">
        <is>
          <t>Semestre 3</t>
        </is>
      </c>
      <c r="G109" s="18" t="inlineStr">
        <is>
          <t>Sciences humaines et sociales appliquées aux APS</t>
        </is>
      </c>
      <c r="H109" s="18" t="inlineStr">
        <is>
          <t>Histoire du sport : naissance et développement du sport moderne</t>
        </is>
      </c>
      <c r="I109" s="17" t="n">
        <v>1</v>
      </c>
      <c r="J109" s="17" t="n">
        <v>2</v>
      </c>
      <c r="K109" s="18" t="inlineStr">
        <is>
          <t>Sciences humaines &amp; sociales</t>
        </is>
      </c>
      <c r="L109" s="18" t="inlineStr">
        <is>
          <t>MS|Semestre 3|Sciences humaines et sociales appliquées aux APS</t>
        </is>
      </c>
    </row>
    <row r="110">
      <c r="A110" s="4" t="inlineStr">
        <is>
          <t>MS</t>
        </is>
      </c>
      <c r="B110" s="4" t="inlineStr">
        <is>
          <t>Management du Sport (MS)</t>
        </is>
      </c>
      <c r="C110" s="4" t="inlineStr">
        <is>
          <t>ENSEPS</t>
        </is>
      </c>
      <c r="D110" s="4" t="inlineStr">
        <is>
          <t>Licence</t>
        </is>
      </c>
      <c r="E110" s="4" t="inlineStr">
        <is>
          <t>L2</t>
        </is>
      </c>
      <c r="F110" s="4" t="inlineStr">
        <is>
          <t>Semestre 3</t>
        </is>
      </c>
      <c r="G110" s="4" t="inlineStr">
        <is>
          <t>Connaissances institutionnelles du sport</t>
        </is>
      </c>
      <c r="H110" s="4" t="inlineStr">
        <is>
          <t>Connaissances institutionnelles et législatives de l'organisation du sport</t>
        </is>
      </c>
      <c r="I110" s="16" t="n">
        <v>1</v>
      </c>
      <c r="J110" s="16" t="n">
        <v>2</v>
      </c>
      <c r="K110" s="4" t="inlineStr">
        <is>
          <t>Sciences humaines &amp; sociales</t>
        </is>
      </c>
      <c r="L110" s="4" t="inlineStr">
        <is>
          <t>MS|Semestre 3|Connaissances institutionnelles du sport</t>
        </is>
      </c>
    </row>
    <row r="111">
      <c r="A111" s="18" t="inlineStr">
        <is>
          <t>MS</t>
        </is>
      </c>
      <c r="B111" s="18" t="inlineStr">
        <is>
          <t>Management du Sport (MS)</t>
        </is>
      </c>
      <c r="C111" s="18" t="inlineStr">
        <is>
          <t>ENSEPS</t>
        </is>
      </c>
      <c r="D111" s="18" t="inlineStr">
        <is>
          <t>Licence</t>
        </is>
      </c>
      <c r="E111" s="18" t="inlineStr">
        <is>
          <t>L2</t>
        </is>
      </c>
      <c r="F111" s="18" t="inlineStr">
        <is>
          <t>Semestre 3</t>
        </is>
      </c>
      <c r="G111" s="18" t="inlineStr">
        <is>
          <t>Initiation aux fondamentaux du volleyball</t>
        </is>
      </c>
      <c r="H111" s="18" t="inlineStr">
        <is>
          <t>Volleyball : Fondamentaux</t>
        </is>
      </c>
      <c r="I111" s="17" t="n">
        <v>1</v>
      </c>
      <c r="J111" s="17" t="n">
        <v>3</v>
      </c>
      <c r="K111" s="18" t="inlineStr">
        <is>
          <t>Pratiques sportives (APS)</t>
        </is>
      </c>
      <c r="L111" s="18" t="inlineStr">
        <is>
          <t>MS|Semestre 3|Initiation aux fondamentaux du volleyball</t>
        </is>
      </c>
    </row>
    <row r="112">
      <c r="A112" s="4" t="inlineStr">
        <is>
          <t>MS</t>
        </is>
      </c>
      <c r="B112" s="4" t="inlineStr">
        <is>
          <t>Management du Sport (MS)</t>
        </is>
      </c>
      <c r="C112" s="4" t="inlineStr">
        <is>
          <t>ENSEPS</t>
        </is>
      </c>
      <c r="D112" s="4" t="inlineStr">
        <is>
          <t>Licence</t>
        </is>
      </c>
      <c r="E112" s="4" t="inlineStr">
        <is>
          <t>L2</t>
        </is>
      </c>
      <c r="F112" s="4" t="inlineStr">
        <is>
          <t>Semestre 3</t>
        </is>
      </c>
      <c r="G112" s="4" t="inlineStr">
        <is>
          <t>Initiation aux sports de combat de préhension</t>
        </is>
      </c>
      <c r="H112" s="4" t="inlineStr">
        <is>
          <t>Judo : Fondamentaux ; Lutte : Fondamentaux</t>
        </is>
      </c>
      <c r="I112" s="16" t="n">
        <v>1</v>
      </c>
      <c r="J112" s="16" t="n">
        <v>2</v>
      </c>
      <c r="K112" s="4" t="inlineStr">
        <is>
          <t>Pratiques sportives (APS)</t>
        </is>
      </c>
      <c r="L112" s="4" t="inlineStr">
        <is>
          <t>MS|Semestre 3|Initiation aux sports de combat de préhension</t>
        </is>
      </c>
    </row>
    <row r="113">
      <c r="A113" s="18" t="inlineStr">
        <is>
          <t>MS</t>
        </is>
      </c>
      <c r="B113" s="18" t="inlineStr">
        <is>
          <t>Management du Sport (MS)</t>
        </is>
      </c>
      <c r="C113" s="18" t="inlineStr">
        <is>
          <t>ENSEPS</t>
        </is>
      </c>
      <c r="D113" s="18" t="inlineStr">
        <is>
          <t>Licence</t>
        </is>
      </c>
      <c r="E113" s="18" t="inlineStr">
        <is>
          <t>L2</t>
        </is>
      </c>
      <c r="F113" s="18" t="inlineStr">
        <is>
          <t>Semestre 3</t>
        </is>
      </c>
      <c r="G113" s="18" t="inlineStr">
        <is>
          <t>Initiation aux sports de combat de percussion</t>
        </is>
      </c>
      <c r="H113" s="18" t="inlineStr">
        <is>
          <t>Boxe : Fondamentaux ; Taekwondo : Fondamentaux</t>
        </is>
      </c>
      <c r="I113" s="17" t="n">
        <v>1</v>
      </c>
      <c r="J113" s="17" t="n">
        <v>2</v>
      </c>
      <c r="K113" s="18" t="inlineStr">
        <is>
          <t>Pratiques sportives (APS)</t>
        </is>
      </c>
      <c r="L113" s="18" t="inlineStr">
        <is>
          <t>MS|Semestre 3|Initiation aux sports de combat de percussion</t>
        </is>
      </c>
    </row>
    <row r="114">
      <c r="A114" s="4" t="inlineStr">
        <is>
          <t>MS</t>
        </is>
      </c>
      <c r="B114" s="4" t="inlineStr">
        <is>
          <t>Management du Sport (MS)</t>
        </is>
      </c>
      <c r="C114" s="4" t="inlineStr">
        <is>
          <t>ENSEPS</t>
        </is>
      </c>
      <c r="D114" s="4" t="inlineStr">
        <is>
          <t>Licence</t>
        </is>
      </c>
      <c r="E114" s="4" t="inlineStr">
        <is>
          <t>L2</t>
        </is>
      </c>
      <c r="F114" s="4" t="inlineStr">
        <is>
          <t>Semestre 3</t>
        </is>
      </c>
      <c r="G114" s="4" t="inlineStr">
        <is>
          <t>Initiation aux sports d'entretien et santé</t>
        </is>
      </c>
      <c r="H114" s="4" t="inlineStr">
        <is>
          <t>Fitness et Conditionnement physique</t>
        </is>
      </c>
      <c r="I114" s="16" t="n">
        <v>1</v>
      </c>
      <c r="J114" s="16" t="n">
        <v>2</v>
      </c>
      <c r="K114" s="4" t="inlineStr">
        <is>
          <t>Pratiques sportives (APS)</t>
        </is>
      </c>
      <c r="L114" s="4" t="inlineStr">
        <is>
          <t>MS|Semestre 3|Initiation aux sports d'entretien et santé</t>
        </is>
      </c>
    </row>
    <row r="115">
      <c r="A115" s="18" t="inlineStr">
        <is>
          <t>MS</t>
        </is>
      </c>
      <c r="B115" s="18" t="inlineStr">
        <is>
          <t>Management du Sport (MS)</t>
        </is>
      </c>
      <c r="C115" s="18" t="inlineStr">
        <is>
          <t>ENSEPS</t>
        </is>
      </c>
      <c r="D115" s="18" t="inlineStr">
        <is>
          <t>Licence</t>
        </is>
      </c>
      <c r="E115" s="18" t="inlineStr">
        <is>
          <t>L2</t>
        </is>
      </c>
      <c r="F115" s="18" t="inlineStr">
        <is>
          <t>Semestre 3</t>
        </is>
      </c>
      <c r="G115" s="18" t="inlineStr">
        <is>
          <t>Matérialisation des plateaux de pratique des APS et performance</t>
        </is>
      </c>
      <c r="H115" s="18" t="inlineStr">
        <is>
          <t>Techniques de traçage des aires de pratique sportive et utilisation des instruments de mesure de la performance</t>
        </is>
      </c>
      <c r="I115" s="17" t="n">
        <v>1</v>
      </c>
      <c r="J115" s="17" t="n">
        <v>3</v>
      </c>
      <c r="K115" s="18" t="inlineStr">
        <is>
          <t>Pratiques sportives (APS)</t>
        </is>
      </c>
      <c r="L115" s="18" t="inlineStr">
        <is>
          <t>MS|Semestre 3|Matérialisation des plateaux de pratique des APS et performance</t>
        </is>
      </c>
    </row>
    <row r="116">
      <c r="A116" s="4" t="inlineStr">
        <is>
          <t>MS</t>
        </is>
      </c>
      <c r="B116" s="4" t="inlineStr">
        <is>
          <t>Management du Sport (MS)</t>
        </is>
      </c>
      <c r="C116" s="4" t="inlineStr">
        <is>
          <t>ENSEPS</t>
        </is>
      </c>
      <c r="D116" s="4" t="inlineStr">
        <is>
          <t>Licence</t>
        </is>
      </c>
      <c r="E116" s="4" t="inlineStr">
        <is>
          <t>L2</t>
        </is>
      </c>
      <c r="F116" s="4" t="inlineStr">
        <is>
          <t>Semestre 3</t>
        </is>
      </c>
      <c r="G116" s="4" t="inlineStr">
        <is>
          <t>Spécialisation théorique et pratique dans une APS</t>
        </is>
      </c>
      <c r="H116" s="4" t="inlineStr">
        <is>
          <t>APS de spécialité (choix d'un sport de spécialité)</t>
        </is>
      </c>
      <c r="I116" s="16" t="n">
        <v>1</v>
      </c>
      <c r="J116" s="16" t="n">
        <v>3</v>
      </c>
      <c r="K116" s="4" t="inlineStr">
        <is>
          <t>Pratiques sportives (APS)</t>
        </is>
      </c>
      <c r="L116" s="4" t="inlineStr">
        <is>
          <t>MS|Semestre 3|Spécialisation théorique et pratique dans une APS</t>
        </is>
      </c>
    </row>
    <row r="117">
      <c r="A117" s="18" t="inlineStr">
        <is>
          <t>MS</t>
        </is>
      </c>
      <c r="B117" s="18" t="inlineStr">
        <is>
          <t>Management du Sport (MS)</t>
        </is>
      </c>
      <c r="C117" s="18" t="inlineStr">
        <is>
          <t>ENSEPS</t>
        </is>
      </c>
      <c r="D117" s="18" t="inlineStr">
        <is>
          <t>Licence</t>
        </is>
      </c>
      <c r="E117" s="18" t="inlineStr">
        <is>
          <t>L2</t>
        </is>
      </c>
      <c r="F117" s="18" t="inlineStr">
        <is>
          <t>Semestre 3</t>
        </is>
      </c>
      <c r="G117" s="18" t="inlineStr">
        <is>
          <t>Pré-professionnalisation</t>
        </is>
      </c>
      <c r="H117" s="18" t="inlineStr">
        <is>
          <t>Stage pédagogique au primaire : animation sportive 1re étape</t>
        </is>
      </c>
      <c r="I117" s="17" t="n">
        <v>1</v>
      </c>
      <c r="J117" s="17" t="n">
        <v>3</v>
      </c>
      <c r="K117" s="18" t="inlineStr">
        <is>
          <t>Professionnalisation / stages</t>
        </is>
      </c>
      <c r="L117" s="18" t="inlineStr">
        <is>
          <t>MS|Semestre 3|Pré-professionnalisation</t>
        </is>
      </c>
    </row>
    <row r="118">
      <c r="A118" s="4" t="inlineStr">
        <is>
          <t>MS</t>
        </is>
      </c>
      <c r="B118" s="4" t="inlineStr">
        <is>
          <t>Management du Sport (MS)</t>
        </is>
      </c>
      <c r="C118" s="4" t="inlineStr">
        <is>
          <t>ENSEPS</t>
        </is>
      </c>
      <c r="D118" s="4" t="inlineStr">
        <is>
          <t>Licence</t>
        </is>
      </c>
      <c r="E118" s="4" t="inlineStr">
        <is>
          <t>L2</t>
        </is>
      </c>
      <c r="F118" s="4" t="inlineStr">
        <is>
          <t>Semestre 3</t>
        </is>
      </c>
      <c r="G118" s="4" t="inlineStr">
        <is>
          <t>Techniques d'expression écrite et orale</t>
        </is>
      </c>
      <c r="H118" s="4" t="inlineStr">
        <is>
          <t>ECUE 1 : Anglais : communication orale (People and places : sport) ; ECUE 2 : Français : expression orale et prise de parole en public</t>
        </is>
      </c>
      <c r="I118" s="16" t="n">
        <v>2</v>
      </c>
      <c r="J118" s="16" t="n">
        <v>4</v>
      </c>
      <c r="K118" s="4" t="inlineStr">
        <is>
          <t>Langues &amp; communication</t>
        </is>
      </c>
      <c r="L118" s="4" t="inlineStr">
        <is>
          <t>MS|Semestre 3|Techniques d'expression écrite et orale</t>
        </is>
      </c>
    </row>
    <row r="119">
      <c r="A119" s="18" t="inlineStr">
        <is>
          <t>MS</t>
        </is>
      </c>
      <c r="B119" s="18" t="inlineStr">
        <is>
          <t>Management du Sport (MS)</t>
        </is>
      </c>
      <c r="C119" s="18" t="inlineStr">
        <is>
          <t>ENSEPS</t>
        </is>
      </c>
      <c r="D119" s="18" t="inlineStr">
        <is>
          <t>Licence</t>
        </is>
      </c>
      <c r="E119" s="18" t="inlineStr">
        <is>
          <t>L2</t>
        </is>
      </c>
      <c r="F119" s="18" t="inlineStr">
        <is>
          <t>Semestre 4</t>
        </is>
      </c>
      <c r="G119" s="18" t="inlineStr">
        <is>
          <t>Connaissances institutionnelles du sport</t>
        </is>
      </c>
      <c r="H119" s="18" t="inlineStr">
        <is>
          <t>Organisation et réglementation en sport, loisirs et tourisme sportif</t>
        </is>
      </c>
      <c r="I119" s="17" t="n">
        <v>1</v>
      </c>
      <c r="J119" s="17" t="n">
        <v>2</v>
      </c>
      <c r="K119" s="18" t="inlineStr">
        <is>
          <t>Sciences humaines &amp; sociales</t>
        </is>
      </c>
      <c r="L119" s="18" t="inlineStr">
        <is>
          <t>MS|Semestre 4|Connaissances institutionnelles du sport</t>
        </is>
      </c>
    </row>
    <row r="120">
      <c r="A120" s="4" t="inlineStr">
        <is>
          <t>MS</t>
        </is>
      </c>
      <c r="B120" s="4" t="inlineStr">
        <is>
          <t>Management du Sport (MS)</t>
        </is>
      </c>
      <c r="C120" s="4" t="inlineStr">
        <is>
          <t>ENSEPS</t>
        </is>
      </c>
      <c r="D120" s="4" t="inlineStr">
        <is>
          <t>Licence</t>
        </is>
      </c>
      <c r="E120" s="4" t="inlineStr">
        <is>
          <t>L2</t>
        </is>
      </c>
      <c r="F120" s="4" t="inlineStr">
        <is>
          <t>Semestre 4</t>
        </is>
      </c>
      <c r="G120" s="4" t="inlineStr">
        <is>
          <t>Connaissances juridiques des entreprises sportives</t>
        </is>
      </c>
      <c r="H120" s="4" t="inlineStr">
        <is>
          <t>ECUE 1 : Introduction au droit ; ECUE 2 : Droit et législation du travail et des associations sportives</t>
        </is>
      </c>
      <c r="I120" s="16" t="n">
        <v>2</v>
      </c>
      <c r="J120" s="16" t="n">
        <v>4</v>
      </c>
      <c r="K120" s="4" t="inlineStr">
        <is>
          <t>Management / droit / économie</t>
        </is>
      </c>
      <c r="L120" s="4" t="inlineStr">
        <is>
          <t>MS|Semestre 4|Connaissances juridiques des entreprises sportives</t>
        </is>
      </c>
    </row>
    <row r="121">
      <c r="A121" s="18" t="inlineStr">
        <is>
          <t>MS</t>
        </is>
      </c>
      <c r="B121" s="18" t="inlineStr">
        <is>
          <t>Management du Sport (MS)</t>
        </is>
      </c>
      <c r="C121" s="18" t="inlineStr">
        <is>
          <t>ENSEPS</t>
        </is>
      </c>
      <c r="D121" s="18" t="inlineStr">
        <is>
          <t>Licence</t>
        </is>
      </c>
      <c r="E121" s="18" t="inlineStr">
        <is>
          <t>L2</t>
        </is>
      </c>
      <c r="F121" s="18" t="inlineStr">
        <is>
          <t>Semestre 4</t>
        </is>
      </c>
      <c r="G121" s="18" t="inlineStr">
        <is>
          <t>Économie et marketing du sport</t>
        </is>
      </c>
      <c r="H121" s="18" t="inlineStr">
        <is>
          <t>ECUE 1 : Comptabilité et gestions financières ; ECUE 2 : Introduction à l'économie et économie du sport</t>
        </is>
      </c>
      <c r="I121" s="17" t="n">
        <v>2</v>
      </c>
      <c r="J121" s="17" t="n">
        <v>6</v>
      </c>
      <c r="K121" s="18" t="inlineStr">
        <is>
          <t>Management / droit / économie</t>
        </is>
      </c>
      <c r="L121" s="18" t="inlineStr">
        <is>
          <t>MS|Semestre 4|Économie et marketing du sport</t>
        </is>
      </c>
    </row>
    <row r="122">
      <c r="A122" s="4" t="inlineStr">
        <is>
          <t>MS</t>
        </is>
      </c>
      <c r="B122" s="4" t="inlineStr">
        <is>
          <t>Management du Sport (MS)</t>
        </is>
      </c>
      <c r="C122" s="4" t="inlineStr">
        <is>
          <t>ENSEPS</t>
        </is>
      </c>
      <c r="D122" s="4" t="inlineStr">
        <is>
          <t>Licence</t>
        </is>
      </c>
      <c r="E122" s="4" t="inlineStr">
        <is>
          <t>L2</t>
        </is>
      </c>
      <c r="F122" s="4" t="inlineStr">
        <is>
          <t>Semestre 4</t>
        </is>
      </c>
      <c r="G122" s="4" t="inlineStr">
        <is>
          <t>Management et gestion du sport</t>
        </is>
      </c>
      <c r="H122" s="4" t="inlineStr">
        <is>
          <t>ECUE 1 : Introduction au marketing ; ECUE 2 : Management d'équipe et gestion des ressources humaines</t>
        </is>
      </c>
      <c r="I122" s="16" t="n">
        <v>2</v>
      </c>
      <c r="J122" s="16" t="n">
        <v>6</v>
      </c>
      <c r="K122" s="4" t="inlineStr">
        <is>
          <t>Management / droit / économie</t>
        </is>
      </c>
      <c r="L122" s="4" t="inlineStr">
        <is>
          <t>MS|Semestre 4|Management et gestion du sport</t>
        </is>
      </c>
    </row>
    <row r="123">
      <c r="A123" s="18" t="inlineStr">
        <is>
          <t>MS</t>
        </is>
      </c>
      <c r="B123" s="18" t="inlineStr">
        <is>
          <t>Management du Sport (MS)</t>
        </is>
      </c>
      <c r="C123" s="18" t="inlineStr">
        <is>
          <t>ENSEPS</t>
        </is>
      </c>
      <c r="D123" s="18" t="inlineStr">
        <is>
          <t>Licence</t>
        </is>
      </c>
      <c r="E123" s="18" t="inlineStr">
        <is>
          <t>L2</t>
        </is>
      </c>
      <c r="F123" s="18" t="inlineStr">
        <is>
          <t>Semestre 4</t>
        </is>
      </c>
      <c r="G123" s="18" t="inlineStr">
        <is>
          <t>Gestion et entretien des infrastructures sportives</t>
        </is>
      </c>
      <c r="H123" s="18" t="inlineStr">
        <is>
          <t>Gestion et aménagement des infrastructures et équipements</t>
        </is>
      </c>
      <c r="I123" s="17" t="n">
        <v>1</v>
      </c>
      <c r="J123" s="17" t="n">
        <v>2</v>
      </c>
      <c r="K123" s="18" t="inlineStr">
        <is>
          <t>Management / droit / économie</t>
        </is>
      </c>
      <c r="L123" s="18" t="inlineStr">
        <is>
          <t>MS|Semestre 4|Gestion et entretien des infrastructures sportives</t>
        </is>
      </c>
    </row>
    <row r="124">
      <c r="A124" s="4" t="inlineStr">
        <is>
          <t>MS</t>
        </is>
      </c>
      <c r="B124" s="4" t="inlineStr">
        <is>
          <t>Management du Sport (MS)</t>
        </is>
      </c>
      <c r="C124" s="4" t="inlineStr">
        <is>
          <t>ENSEPS</t>
        </is>
      </c>
      <c r="D124" s="4" t="inlineStr">
        <is>
          <t>Licence</t>
        </is>
      </c>
      <c r="E124" s="4" t="inlineStr">
        <is>
          <t>L2</t>
        </is>
      </c>
      <c r="F124" s="4" t="inlineStr">
        <is>
          <t>Semestre 4</t>
        </is>
      </c>
      <c r="G124" s="4" t="inlineStr">
        <is>
          <t>Spécialisation théorique et pratique dans une APS</t>
        </is>
      </c>
      <c r="H124" s="4" t="inlineStr">
        <is>
          <t>APS de spécialité</t>
        </is>
      </c>
      <c r="I124" s="16" t="n">
        <v>1</v>
      </c>
      <c r="J124" s="16" t="n">
        <v>2</v>
      </c>
      <c r="K124" s="4" t="inlineStr">
        <is>
          <t>Pratiques sportives (APS)</t>
        </is>
      </c>
      <c r="L124" s="4" t="inlineStr">
        <is>
          <t>MS|Semestre 4|Spécialisation théorique et pratique dans une APS</t>
        </is>
      </c>
    </row>
    <row r="125">
      <c r="A125" s="18" t="inlineStr">
        <is>
          <t>MS</t>
        </is>
      </c>
      <c r="B125" s="18" t="inlineStr">
        <is>
          <t>Management du Sport (MS)</t>
        </is>
      </c>
      <c r="C125" s="18" t="inlineStr">
        <is>
          <t>ENSEPS</t>
        </is>
      </c>
      <c r="D125" s="18" t="inlineStr">
        <is>
          <t>Licence</t>
        </is>
      </c>
      <c r="E125" s="18" t="inlineStr">
        <is>
          <t>L2</t>
        </is>
      </c>
      <c r="F125" s="18" t="inlineStr">
        <is>
          <t>Semestre 4</t>
        </is>
      </c>
      <c r="G125" s="18" t="inlineStr">
        <is>
          <t>Pré-professionnalisation</t>
        </is>
      </c>
      <c r="H125" s="18" t="inlineStr">
        <is>
          <t>Conduite d'action professionnelle en observation (stage)</t>
        </is>
      </c>
      <c r="I125" s="17" t="n">
        <v>1</v>
      </c>
      <c r="J125" s="17" t="n">
        <v>2</v>
      </c>
      <c r="K125" s="18" t="inlineStr">
        <is>
          <t>Professionnalisation / stages</t>
        </is>
      </c>
      <c r="L125" s="18" t="inlineStr">
        <is>
          <t>MS|Semestre 4|Pré-professionnalisation</t>
        </is>
      </c>
    </row>
    <row r="126">
      <c r="A126" s="4" t="inlineStr">
        <is>
          <t>MS</t>
        </is>
      </c>
      <c r="B126" s="4" t="inlineStr">
        <is>
          <t>Management du Sport (MS)</t>
        </is>
      </c>
      <c r="C126" s="4" t="inlineStr">
        <is>
          <t>ENSEPS</t>
        </is>
      </c>
      <c r="D126" s="4" t="inlineStr">
        <is>
          <t>Licence</t>
        </is>
      </c>
      <c r="E126" s="4" t="inlineStr">
        <is>
          <t>L2</t>
        </is>
      </c>
      <c r="F126" s="4" t="inlineStr">
        <is>
          <t>Semestre 4</t>
        </is>
      </c>
      <c r="G126" s="4" t="inlineStr">
        <is>
          <t>Méthodologie de la recherche</t>
        </is>
      </c>
      <c r="H126" s="4" t="inlineStr">
        <is>
          <t>Introduction à la méthodologie de la recherche scientifique</t>
        </is>
      </c>
      <c r="I126" s="16" t="n">
        <v>1</v>
      </c>
      <c r="J126" s="16" t="n">
        <v>3</v>
      </c>
      <c r="K126" s="4" t="inlineStr">
        <is>
          <t>Recherche &amp; méthodologie</t>
        </is>
      </c>
      <c r="L126" s="4" t="inlineStr">
        <is>
          <t>MS|Semestre 4|Méthodologie de la recherche</t>
        </is>
      </c>
    </row>
    <row r="127">
      <c r="A127" s="18" t="inlineStr">
        <is>
          <t>MS</t>
        </is>
      </c>
      <c r="B127" s="18" t="inlineStr">
        <is>
          <t>Management du Sport (MS)</t>
        </is>
      </c>
      <c r="C127" s="18" t="inlineStr">
        <is>
          <t>ENSEPS</t>
        </is>
      </c>
      <c r="D127" s="18" t="inlineStr">
        <is>
          <t>Licence</t>
        </is>
      </c>
      <c r="E127" s="18" t="inlineStr">
        <is>
          <t>L2</t>
        </is>
      </c>
      <c r="F127" s="18" t="inlineStr">
        <is>
          <t>Semestre 4</t>
        </is>
      </c>
      <c r="G127" s="18" t="inlineStr">
        <is>
          <t>Technologie de l'information et de la communication</t>
        </is>
      </c>
      <c r="H127" s="18" t="inlineStr">
        <is>
          <t>Initiation à l'informatique et aux techniques de montage audiovisuel : APS et activité récréative</t>
        </is>
      </c>
      <c r="I127" s="17" t="n">
        <v>1</v>
      </c>
      <c r="J127" s="17" t="n">
        <v>1</v>
      </c>
      <c r="K127" s="18" t="inlineStr">
        <is>
          <t>TIC / bureautique</t>
        </is>
      </c>
      <c r="L127" s="18" t="inlineStr">
        <is>
          <t>MS|Semestre 4|Technologie de l'information et de la communication</t>
        </is>
      </c>
    </row>
    <row r="128">
      <c r="A128" s="4" t="inlineStr">
        <is>
          <t>MS</t>
        </is>
      </c>
      <c r="B128" s="4" t="inlineStr">
        <is>
          <t>Management du Sport (MS)</t>
        </is>
      </c>
      <c r="C128" s="4" t="inlineStr">
        <is>
          <t>ENSEPS</t>
        </is>
      </c>
      <c r="D128" s="4" t="inlineStr">
        <is>
          <t>Licence</t>
        </is>
      </c>
      <c r="E128" s="4" t="inlineStr">
        <is>
          <t>L2</t>
        </is>
      </c>
      <c r="F128" s="4" t="inlineStr">
        <is>
          <t>Semestre 4</t>
        </is>
      </c>
      <c r="G128" s="4" t="inlineStr">
        <is>
          <t>Techniques d'expression écrite et orale</t>
        </is>
      </c>
      <c r="H128" s="4" t="inlineStr">
        <is>
          <t>Anglais spécifique au management : gestion des organisations sportives</t>
        </is>
      </c>
      <c r="I128" s="16" t="n">
        <v>1</v>
      </c>
      <c r="J128" s="16" t="n">
        <v>2</v>
      </c>
      <c r="K128" s="4" t="inlineStr">
        <is>
          <t>Langues &amp; communication</t>
        </is>
      </c>
      <c r="L128" s="4" t="inlineStr">
        <is>
          <t>MS|Semestre 4|Techniques d'expression écrite et orale</t>
        </is>
      </c>
    </row>
    <row r="129">
      <c r="A129" s="18" t="inlineStr">
        <is>
          <t>MS</t>
        </is>
      </c>
      <c r="B129" s="18" t="inlineStr">
        <is>
          <t>Management du Sport (MS)</t>
        </is>
      </c>
      <c r="C129" s="18" t="inlineStr">
        <is>
          <t>ENSEPS</t>
        </is>
      </c>
      <c r="D129" s="18" t="inlineStr">
        <is>
          <t>Licence</t>
        </is>
      </c>
      <c r="E129" s="18" t="inlineStr">
        <is>
          <t>L3</t>
        </is>
      </c>
      <c r="F129" s="18" t="inlineStr">
        <is>
          <t>Semestre 5</t>
        </is>
      </c>
      <c r="G129" s="18" t="inlineStr">
        <is>
          <t>Connaissances sociologiques et managériales du sport</t>
        </is>
      </c>
      <c r="H129" s="18" t="inlineStr">
        <is>
          <t>ECUE 1 : Sociologie des organisations sportives ; ECUE 2 : Management des organisations sportives</t>
        </is>
      </c>
      <c r="I129" s="17" t="n">
        <v>2</v>
      </c>
      <c r="J129" s="17" t="n">
        <v>4</v>
      </c>
      <c r="K129" s="18" t="inlineStr">
        <is>
          <t>Sciences humaines &amp; sociales</t>
        </is>
      </c>
      <c r="L129" s="18" t="inlineStr">
        <is>
          <t>MS|Semestre 5|Connaissances sociologiques et managériales du sport</t>
        </is>
      </c>
    </row>
    <row r="130">
      <c r="A130" s="4" t="inlineStr">
        <is>
          <t>MS</t>
        </is>
      </c>
      <c r="B130" s="4" t="inlineStr">
        <is>
          <t>Management du Sport (MS)</t>
        </is>
      </c>
      <c r="C130" s="4" t="inlineStr">
        <is>
          <t>ENSEPS</t>
        </is>
      </c>
      <c r="D130" s="4" t="inlineStr">
        <is>
          <t>Licence</t>
        </is>
      </c>
      <c r="E130" s="4" t="inlineStr">
        <is>
          <t>L3</t>
        </is>
      </c>
      <c r="F130" s="4" t="inlineStr">
        <is>
          <t>Semestre 5</t>
        </is>
      </c>
      <c r="G130" s="4" t="inlineStr">
        <is>
          <t>Droit du sport</t>
        </is>
      </c>
      <c r="H130" s="4" t="inlineStr">
        <is>
          <t>ECUE 1 : Cadre institutionnel et législatif du sport en Côte d'Ivoire ; ECUE 2 : Sécurité de l'installation sportive et droit de la responsabilité</t>
        </is>
      </c>
      <c r="I130" s="16" t="n">
        <v>2</v>
      </c>
      <c r="J130" s="16" t="n">
        <v>4</v>
      </c>
      <c r="K130" s="4" t="inlineStr">
        <is>
          <t>Management / droit / économie</t>
        </is>
      </c>
      <c r="L130" s="4" t="inlineStr">
        <is>
          <t>MS|Semestre 5|Droit du sport</t>
        </is>
      </c>
    </row>
    <row r="131">
      <c r="A131" s="18" t="inlineStr">
        <is>
          <t>MS</t>
        </is>
      </c>
      <c r="B131" s="18" t="inlineStr">
        <is>
          <t>Management du Sport (MS)</t>
        </is>
      </c>
      <c r="C131" s="18" t="inlineStr">
        <is>
          <t>ENSEPS</t>
        </is>
      </c>
      <c r="D131" s="18" t="inlineStr">
        <is>
          <t>Licence</t>
        </is>
      </c>
      <c r="E131" s="18" t="inlineStr">
        <is>
          <t>L3</t>
        </is>
      </c>
      <c r="F131" s="18" t="inlineStr">
        <is>
          <t>Semestre 5</t>
        </is>
      </c>
      <c r="G131" s="18" t="inlineStr">
        <is>
          <t>Management et marketing stratégique</t>
        </is>
      </c>
      <c r="H131" s="18" t="inlineStr">
        <is>
          <t>Étude de marché</t>
        </is>
      </c>
      <c r="I131" s="17" t="n">
        <v>1</v>
      </c>
      <c r="J131" s="17" t="n">
        <v>2</v>
      </c>
      <c r="K131" s="18" t="inlineStr">
        <is>
          <t>Management / droit / économie</t>
        </is>
      </c>
      <c r="L131" s="18" t="inlineStr">
        <is>
          <t>MS|Semestre 5|Management et marketing stratégique</t>
        </is>
      </c>
    </row>
    <row r="132">
      <c r="A132" s="4" t="inlineStr">
        <is>
          <t>MS</t>
        </is>
      </c>
      <c r="B132" s="4" t="inlineStr">
        <is>
          <t>Management du Sport (MS)</t>
        </is>
      </c>
      <c r="C132" s="4" t="inlineStr">
        <is>
          <t>ENSEPS</t>
        </is>
      </c>
      <c r="D132" s="4" t="inlineStr">
        <is>
          <t>Licence</t>
        </is>
      </c>
      <c r="E132" s="4" t="inlineStr">
        <is>
          <t>L3</t>
        </is>
      </c>
      <c r="F132" s="4" t="inlineStr">
        <is>
          <t>Semestre 5</t>
        </is>
      </c>
      <c r="G132" s="4" t="inlineStr">
        <is>
          <t>Stratégie de communication</t>
        </is>
      </c>
      <c r="H132" s="4" t="inlineStr">
        <is>
          <t>Concepts, techniques et stratégies de communication des organisations sportives</t>
        </is>
      </c>
      <c r="I132" s="16" t="n">
        <v>1</v>
      </c>
      <c r="J132" s="16" t="n">
        <v>2</v>
      </c>
      <c r="K132" s="4" t="inlineStr">
        <is>
          <t>Management / droit / économie</t>
        </is>
      </c>
      <c r="L132" s="4" t="inlineStr">
        <is>
          <t>MS|Semestre 5|Stratégie de communication</t>
        </is>
      </c>
    </row>
    <row r="133">
      <c r="A133" s="18" t="inlineStr">
        <is>
          <t>MS</t>
        </is>
      </c>
      <c r="B133" s="18" t="inlineStr">
        <is>
          <t>Management du Sport (MS)</t>
        </is>
      </c>
      <c r="C133" s="18" t="inlineStr">
        <is>
          <t>ENSEPS</t>
        </is>
      </c>
      <c r="D133" s="18" t="inlineStr">
        <is>
          <t>Licence</t>
        </is>
      </c>
      <c r="E133" s="18" t="inlineStr">
        <is>
          <t>L3</t>
        </is>
      </c>
      <c r="F133" s="18" t="inlineStr">
        <is>
          <t>Semestre 5</t>
        </is>
      </c>
      <c r="G133" s="18" t="inlineStr">
        <is>
          <t>Finance et comptabilité du sport</t>
        </is>
      </c>
      <c r="H133" s="18" t="inlineStr">
        <is>
          <t>ECUE 1 : Analyse financière et fiscalité des organisations sportives ; ECUE 2 : Analyse des modes de financement du sport</t>
        </is>
      </c>
      <c r="I133" s="17" t="n">
        <v>2</v>
      </c>
      <c r="J133" s="17" t="n">
        <v>4</v>
      </c>
      <c r="K133" s="18" t="inlineStr">
        <is>
          <t>Management / droit / économie</t>
        </is>
      </c>
      <c r="L133" s="18" t="inlineStr">
        <is>
          <t>MS|Semestre 5|Finance et comptabilité du sport</t>
        </is>
      </c>
    </row>
    <row r="134">
      <c r="A134" s="4" t="inlineStr">
        <is>
          <t>MS</t>
        </is>
      </c>
      <c r="B134" s="4" t="inlineStr">
        <is>
          <t>Management du Sport (MS)</t>
        </is>
      </c>
      <c r="C134" s="4" t="inlineStr">
        <is>
          <t>ENSEPS</t>
        </is>
      </c>
      <c r="D134" s="4" t="inlineStr">
        <is>
          <t>Licence</t>
        </is>
      </c>
      <c r="E134" s="4" t="inlineStr">
        <is>
          <t>L3</t>
        </is>
      </c>
      <c r="F134" s="4" t="inlineStr">
        <is>
          <t>Semestre 5</t>
        </is>
      </c>
      <c r="G134" s="4" t="inlineStr">
        <is>
          <t>Spécialisation théorique et pratique dans une APS</t>
        </is>
      </c>
      <c r="H134" s="4" t="inlineStr">
        <is>
          <t>APS de spécialité</t>
        </is>
      </c>
      <c r="I134" s="16" t="n">
        <v>1</v>
      </c>
      <c r="J134" s="16" t="n">
        <v>3</v>
      </c>
      <c r="K134" s="4" t="inlineStr">
        <is>
          <t>Pratiques sportives (APS)</t>
        </is>
      </c>
      <c r="L134" s="4" t="inlineStr">
        <is>
          <t>MS|Semestre 5|Spécialisation théorique et pratique dans une APS</t>
        </is>
      </c>
    </row>
    <row r="135">
      <c r="A135" s="18" t="inlineStr">
        <is>
          <t>MS</t>
        </is>
      </c>
      <c r="B135" s="18" t="inlineStr">
        <is>
          <t>Management du Sport (MS)</t>
        </is>
      </c>
      <c r="C135" s="18" t="inlineStr">
        <is>
          <t>ENSEPS</t>
        </is>
      </c>
      <c r="D135" s="18" t="inlineStr">
        <is>
          <t>Licence</t>
        </is>
      </c>
      <c r="E135" s="18" t="inlineStr">
        <is>
          <t>L3</t>
        </is>
      </c>
      <c r="F135" s="18" t="inlineStr">
        <is>
          <t>Semestre 5</t>
        </is>
      </c>
      <c r="G135" s="18" t="inlineStr">
        <is>
          <t>Pratique de l'événementiel sportif</t>
        </is>
      </c>
      <c r="H135" s="18" t="inlineStr">
        <is>
          <t>ECUE 1 : Management de projet : événement sportif de la planification à la clôture 1 ; ECUE 2 : idem 2</t>
        </is>
      </c>
      <c r="I135" s="17" t="n">
        <v>2</v>
      </c>
      <c r="J135" s="17" t="n">
        <v>4</v>
      </c>
      <c r="K135" s="18" t="inlineStr">
        <is>
          <t>Management / droit / économie</t>
        </is>
      </c>
      <c r="L135" s="18" t="inlineStr">
        <is>
          <t>MS|Semestre 5|Pratique de l'événementiel sportif</t>
        </is>
      </c>
    </row>
    <row r="136">
      <c r="A136" s="4" t="inlineStr">
        <is>
          <t>MS</t>
        </is>
      </c>
      <c r="B136" s="4" t="inlineStr">
        <is>
          <t>Management du Sport (MS)</t>
        </is>
      </c>
      <c r="C136" s="4" t="inlineStr">
        <is>
          <t>ENSEPS</t>
        </is>
      </c>
      <c r="D136" s="4" t="inlineStr">
        <is>
          <t>Licence</t>
        </is>
      </c>
      <c r="E136" s="4" t="inlineStr">
        <is>
          <t>L3</t>
        </is>
      </c>
      <c r="F136" s="4" t="inlineStr">
        <is>
          <t>Semestre 5</t>
        </is>
      </c>
      <c r="G136" s="4" t="inlineStr">
        <is>
          <t>Méthodologie de la recherche</t>
        </is>
      </c>
      <c r="H136" s="4" t="inlineStr">
        <is>
          <t>Initiation à la méthodologie de la recherche scientifique 3</t>
        </is>
      </c>
      <c r="I136" s="16" t="n">
        <v>1</v>
      </c>
      <c r="J136" s="16" t="n">
        <v>2</v>
      </c>
      <c r="K136" s="4" t="inlineStr">
        <is>
          <t>Recherche &amp; méthodologie</t>
        </is>
      </c>
      <c r="L136" s="4" t="inlineStr">
        <is>
          <t>MS|Semestre 5|Méthodologie de la recherche</t>
        </is>
      </c>
    </row>
    <row r="137">
      <c r="A137" s="18" t="inlineStr">
        <is>
          <t>MS</t>
        </is>
      </c>
      <c r="B137" s="18" t="inlineStr">
        <is>
          <t>Management du Sport (MS)</t>
        </is>
      </c>
      <c r="C137" s="18" t="inlineStr">
        <is>
          <t>ENSEPS</t>
        </is>
      </c>
      <c r="D137" s="18" t="inlineStr">
        <is>
          <t>Licence</t>
        </is>
      </c>
      <c r="E137" s="18" t="inlineStr">
        <is>
          <t>L3</t>
        </is>
      </c>
      <c r="F137" s="18" t="inlineStr">
        <is>
          <t>Semestre 5</t>
        </is>
      </c>
      <c r="G137" s="18" t="inlineStr">
        <is>
          <t>Technologie de l'information et de la communication</t>
        </is>
      </c>
      <c r="H137" s="18" t="inlineStr">
        <is>
          <t>Introduction à l'informatique : prise en main d'Excel</t>
        </is>
      </c>
      <c r="I137" s="17" t="n">
        <v>1</v>
      </c>
      <c r="J137" s="17" t="n">
        <v>2</v>
      </c>
      <c r="K137" s="18" t="inlineStr">
        <is>
          <t>TIC / bureautique</t>
        </is>
      </c>
      <c r="L137" s="18" t="inlineStr">
        <is>
          <t>MS|Semestre 5|Technologie de l'information et de la communication</t>
        </is>
      </c>
    </row>
    <row r="138">
      <c r="A138" s="4" t="inlineStr">
        <is>
          <t>MS</t>
        </is>
      </c>
      <c r="B138" s="4" t="inlineStr">
        <is>
          <t>Management du Sport (MS)</t>
        </is>
      </c>
      <c r="C138" s="4" t="inlineStr">
        <is>
          <t>ENSEPS</t>
        </is>
      </c>
      <c r="D138" s="4" t="inlineStr">
        <is>
          <t>Licence</t>
        </is>
      </c>
      <c r="E138" s="4" t="inlineStr">
        <is>
          <t>L3</t>
        </is>
      </c>
      <c r="F138" s="4" t="inlineStr">
        <is>
          <t>Semestre 5</t>
        </is>
      </c>
      <c r="G138" s="4" t="inlineStr">
        <is>
          <t>Technique d'expression orale et écrite</t>
        </is>
      </c>
      <c r="H138" s="4" t="inlineStr">
        <is>
          <t>Anglais en marketing et management du sport</t>
        </is>
      </c>
      <c r="I138" s="16" t="n">
        <v>1</v>
      </c>
      <c r="J138" s="16" t="n">
        <v>2</v>
      </c>
      <c r="K138" s="4" t="inlineStr">
        <is>
          <t>Langues &amp; communication</t>
        </is>
      </c>
      <c r="L138" s="4" t="inlineStr">
        <is>
          <t>MS|Semestre 5|Technique d'expression orale et écrite</t>
        </is>
      </c>
    </row>
    <row r="139">
      <c r="A139" s="18" t="inlineStr">
        <is>
          <t>MS</t>
        </is>
      </c>
      <c r="B139" s="18" t="inlineStr">
        <is>
          <t>Management du Sport (MS)</t>
        </is>
      </c>
      <c r="C139" s="18" t="inlineStr">
        <is>
          <t>ENSEPS</t>
        </is>
      </c>
      <c r="D139" s="18" t="inlineStr">
        <is>
          <t>Licence</t>
        </is>
      </c>
      <c r="E139" s="18" t="inlineStr">
        <is>
          <t>L3</t>
        </is>
      </c>
      <c r="F139" s="18" t="inlineStr">
        <is>
          <t>Semestre 5</t>
        </is>
      </c>
      <c r="G139" s="18" t="inlineStr">
        <is>
          <t>Life Skills</t>
        </is>
      </c>
      <c r="H139" s="18" t="inlineStr">
        <is>
          <t>Culture civique</t>
        </is>
      </c>
      <c r="I139" s="17" t="n">
        <v>1</v>
      </c>
      <c r="J139" s="17" t="n">
        <v>1</v>
      </c>
      <c r="K139" s="18" t="inlineStr">
        <is>
          <t>Transversal / civique / secourisme</t>
        </is>
      </c>
      <c r="L139" s="18" t="inlineStr">
        <is>
          <t>MS|Semestre 5|Life Skills</t>
        </is>
      </c>
    </row>
    <row r="140">
      <c r="A140" s="4" t="inlineStr">
        <is>
          <t>MS</t>
        </is>
      </c>
      <c r="B140" s="4" t="inlineStr">
        <is>
          <t>Management du Sport (MS)</t>
        </is>
      </c>
      <c r="C140" s="4" t="inlineStr">
        <is>
          <t>ENSEPS</t>
        </is>
      </c>
      <c r="D140" s="4" t="inlineStr">
        <is>
          <t>Licence</t>
        </is>
      </c>
      <c r="E140" s="4" t="inlineStr">
        <is>
          <t>L3</t>
        </is>
      </c>
      <c r="F140" s="4" t="inlineStr">
        <is>
          <t>Semestre 6</t>
        </is>
      </c>
      <c r="G140" s="4" t="inlineStr">
        <is>
          <t>Gestion de l'environnement sportif</t>
        </is>
      </c>
      <c r="H140" s="4" t="inlineStr">
        <is>
          <t>ECUE 1 : Réglementation et responsabilité en matière de risques et assurances sportives ; ECUE 2 : Aménagement des territoires sportifs : conception et gestion prospective des équipements sportifs</t>
        </is>
      </c>
      <c r="I140" s="16" t="n">
        <v>2</v>
      </c>
      <c r="J140" s="16" t="n">
        <v>6</v>
      </c>
      <c r="K140" s="4" t="inlineStr">
        <is>
          <t>Management / droit / économie</t>
        </is>
      </c>
      <c r="L140" s="4" t="inlineStr">
        <is>
          <t>MS|Semestre 6|Gestion de l'environnement sportif</t>
        </is>
      </c>
    </row>
    <row r="141">
      <c r="A141" s="18" t="inlineStr">
        <is>
          <t>MS</t>
        </is>
      </c>
      <c r="B141" s="18" t="inlineStr">
        <is>
          <t>Management du Sport (MS)</t>
        </is>
      </c>
      <c r="C141" s="18" t="inlineStr">
        <is>
          <t>ENSEPS</t>
        </is>
      </c>
      <c r="D141" s="18" t="inlineStr">
        <is>
          <t>Licence</t>
        </is>
      </c>
      <c r="E141" s="18" t="inlineStr">
        <is>
          <t>L3</t>
        </is>
      </c>
      <c r="F141" s="18" t="inlineStr">
        <is>
          <t>Semestre 6</t>
        </is>
      </c>
      <c r="G141" s="18" t="inlineStr">
        <is>
          <t>Marketing et économie du sport</t>
        </is>
      </c>
      <c r="H141" s="18" t="inlineStr">
        <is>
          <t>ECUE 1 : Stratégie marketing : conception de produits et services de loisir sportif ; ECUE 2 : Sport, loisirs et développement durable : analyse socio-économique</t>
        </is>
      </c>
      <c r="I141" s="17" t="n">
        <v>2</v>
      </c>
      <c r="J141" s="17" t="n">
        <v>6</v>
      </c>
      <c r="K141" s="18" t="inlineStr">
        <is>
          <t>Management / droit / économie</t>
        </is>
      </c>
      <c r="L141" s="18" t="inlineStr">
        <is>
          <t>MS|Semestre 6|Marketing et économie du sport</t>
        </is>
      </c>
    </row>
    <row r="142">
      <c r="A142" s="4" t="inlineStr">
        <is>
          <t>MS</t>
        </is>
      </c>
      <c r="B142" s="4" t="inlineStr">
        <is>
          <t>Management du Sport (MS)</t>
        </is>
      </c>
      <c r="C142" s="4" t="inlineStr">
        <is>
          <t>ENSEPS</t>
        </is>
      </c>
      <c r="D142" s="4" t="inlineStr">
        <is>
          <t>Licence</t>
        </is>
      </c>
      <c r="E142" s="4" t="inlineStr">
        <is>
          <t>L3</t>
        </is>
      </c>
      <c r="F142" s="4" t="inlineStr">
        <is>
          <t>Semestre 6</t>
        </is>
      </c>
      <c r="G142" s="4" t="inlineStr">
        <is>
          <t>Pratique de l'entrepreneuriat et de l'événementiel sportif</t>
        </is>
      </c>
      <c r="H142" s="4" t="inlineStr">
        <is>
          <t>Entrepreneuriat sportif : création de services/entreprises sportives (MS, APAS)</t>
        </is>
      </c>
      <c r="I142" s="16" t="n">
        <v>1</v>
      </c>
      <c r="J142" s="16" t="n">
        <v>2</v>
      </c>
      <c r="K142" s="4" t="inlineStr">
        <is>
          <t>Management / droit / économie</t>
        </is>
      </c>
      <c r="L142" s="4" t="inlineStr">
        <is>
          <t>MS|Semestre 6|Pratique de l'entrepreneuriat et de l'événementiel sportif</t>
        </is>
      </c>
    </row>
    <row r="143">
      <c r="A143" s="18" t="inlineStr">
        <is>
          <t>MS</t>
        </is>
      </c>
      <c r="B143" s="18" t="inlineStr">
        <is>
          <t>Management du Sport (MS)</t>
        </is>
      </c>
      <c r="C143" s="18" t="inlineStr">
        <is>
          <t>ENSEPS</t>
        </is>
      </c>
      <c r="D143" s="18" t="inlineStr">
        <is>
          <t>Licence</t>
        </is>
      </c>
      <c r="E143" s="18" t="inlineStr">
        <is>
          <t>L3</t>
        </is>
      </c>
      <c r="F143" s="18" t="inlineStr">
        <is>
          <t>Semestre 6</t>
        </is>
      </c>
      <c r="G143" s="18" t="inlineStr">
        <is>
          <t>Gestion administrative du sport</t>
        </is>
      </c>
      <c r="H143" s="18" t="inlineStr">
        <is>
          <t>ECUE 1 : Administration publique de CI : attributions, organisation et fonctionnement du ministère des Sports ; ECUE 2 : Élaboration et gestion de projet dans le domaine sportif (GAR)</t>
        </is>
      </c>
      <c r="I143" s="17" t="n">
        <v>2</v>
      </c>
      <c r="J143" s="17" t="n">
        <v>4</v>
      </c>
      <c r="K143" s="18" t="inlineStr">
        <is>
          <t>Management / droit / économie</t>
        </is>
      </c>
      <c r="L143" s="18" t="inlineStr">
        <is>
          <t>MS|Semestre 6|Gestion administrative du sport</t>
        </is>
      </c>
    </row>
    <row r="144">
      <c r="A144" s="4" t="inlineStr">
        <is>
          <t>MS</t>
        </is>
      </c>
      <c r="B144" s="4" t="inlineStr">
        <is>
          <t>Management du Sport (MS)</t>
        </is>
      </c>
      <c r="C144" s="4" t="inlineStr">
        <is>
          <t>ENSEPS</t>
        </is>
      </c>
      <c r="D144" s="4" t="inlineStr">
        <is>
          <t>Licence</t>
        </is>
      </c>
      <c r="E144" s="4" t="inlineStr">
        <is>
          <t>L3</t>
        </is>
      </c>
      <c r="F144" s="4" t="inlineStr">
        <is>
          <t>Semestre 6</t>
        </is>
      </c>
      <c r="G144" s="4" t="inlineStr">
        <is>
          <t>Fonction publique</t>
        </is>
      </c>
      <c r="H144" s="4" t="inlineStr">
        <is>
          <t>Droits et obligations du fonctionnaire</t>
        </is>
      </c>
      <c r="I144" s="16" t="n">
        <v>1</v>
      </c>
      <c r="J144" s="16" t="n">
        <v>2</v>
      </c>
      <c r="K144" s="4" t="inlineStr">
        <is>
          <t>Transversal / civique / secourisme</t>
        </is>
      </c>
      <c r="L144" s="4" t="inlineStr">
        <is>
          <t>MS|Semestre 6|Fonction publique</t>
        </is>
      </c>
    </row>
    <row r="145">
      <c r="A145" s="18" t="inlineStr">
        <is>
          <t>MS</t>
        </is>
      </c>
      <c r="B145" s="18" t="inlineStr">
        <is>
          <t>Management du Sport (MS)</t>
        </is>
      </c>
      <c r="C145" s="18" t="inlineStr">
        <is>
          <t>ENSEPS</t>
        </is>
      </c>
      <c r="D145" s="18" t="inlineStr">
        <is>
          <t>Licence</t>
        </is>
      </c>
      <c r="E145" s="18" t="inlineStr">
        <is>
          <t>L3</t>
        </is>
      </c>
      <c r="F145" s="18" t="inlineStr">
        <is>
          <t>Semestre 6</t>
        </is>
      </c>
      <c r="G145" s="18" t="inlineStr">
        <is>
          <t>Spécialisation pratique et théorique dans une APS</t>
        </is>
      </c>
      <c r="H145" s="18" t="inlineStr">
        <is>
          <t>APS de spécialité</t>
        </is>
      </c>
      <c r="I145" s="17" t="n">
        <v>1</v>
      </c>
      <c r="J145" s="17" t="n">
        <v>2</v>
      </c>
      <c r="K145" s="18" t="inlineStr">
        <is>
          <t>Pratiques sportives (APS)</t>
        </is>
      </c>
      <c r="L145" s="18" t="inlineStr">
        <is>
          <t>MS|Semestre 6|Spécialisation pratique et théorique dans une APS</t>
        </is>
      </c>
    </row>
    <row r="146">
      <c r="A146" s="4" t="inlineStr">
        <is>
          <t>MS</t>
        </is>
      </c>
      <c r="B146" s="4" t="inlineStr">
        <is>
          <t>Management du Sport (MS)</t>
        </is>
      </c>
      <c r="C146" s="4" t="inlineStr">
        <is>
          <t>ENSEPS</t>
        </is>
      </c>
      <c r="D146" s="4" t="inlineStr">
        <is>
          <t>Licence</t>
        </is>
      </c>
      <c r="E146" s="4" t="inlineStr">
        <is>
          <t>L3</t>
        </is>
      </c>
      <c r="F146" s="4" t="inlineStr">
        <is>
          <t>Semestre 6</t>
        </is>
      </c>
      <c r="G146" s="4" t="inlineStr">
        <is>
          <t>Pré-professionnalisation</t>
        </is>
      </c>
      <c r="H146" s="4" t="inlineStr">
        <is>
          <t>Conduite et présentation d'action professionnelle en responsabilité (stage)</t>
        </is>
      </c>
      <c r="I146" s="16" t="n">
        <v>1</v>
      </c>
      <c r="J146" s="16" t="n">
        <v>3</v>
      </c>
      <c r="K146" s="4" t="inlineStr">
        <is>
          <t>Professionnalisation / stages</t>
        </is>
      </c>
      <c r="L146" s="4" t="inlineStr">
        <is>
          <t>MS|Semestre 6|Pré-professionnalisation</t>
        </is>
      </c>
    </row>
    <row r="147">
      <c r="A147" s="18" t="inlineStr">
        <is>
          <t>MS</t>
        </is>
      </c>
      <c r="B147" s="18" t="inlineStr">
        <is>
          <t>Management du Sport (MS)</t>
        </is>
      </c>
      <c r="C147" s="18" t="inlineStr">
        <is>
          <t>ENSEPS</t>
        </is>
      </c>
      <c r="D147" s="18" t="inlineStr">
        <is>
          <t>Licence</t>
        </is>
      </c>
      <c r="E147" s="18" t="inlineStr">
        <is>
          <t>L3</t>
        </is>
      </c>
      <c r="F147" s="18" t="inlineStr">
        <is>
          <t>Semestre 6</t>
        </is>
      </c>
      <c r="G147" s="18" t="inlineStr">
        <is>
          <t>Formation à la recherche scientifique</t>
        </is>
      </c>
      <c r="H147" s="18" t="inlineStr">
        <is>
          <t>Séminaire de recherche : élaboration de projet de mémoire</t>
        </is>
      </c>
      <c r="I147" s="17" t="n">
        <v>1</v>
      </c>
      <c r="J147" s="17" t="n">
        <v>3</v>
      </c>
      <c r="K147" s="18" t="inlineStr">
        <is>
          <t>Recherche &amp; méthodologie</t>
        </is>
      </c>
      <c r="L147" s="18" t="inlineStr">
        <is>
          <t>MS|Semestre 6|Formation à la recherche scientifique</t>
        </is>
      </c>
    </row>
    <row r="148">
      <c r="A148" s="4" t="inlineStr">
        <is>
          <t>MS</t>
        </is>
      </c>
      <c r="B148" s="4" t="inlineStr">
        <is>
          <t>Management du Sport (MS)</t>
        </is>
      </c>
      <c r="C148" s="4" t="inlineStr">
        <is>
          <t>ENSEPS</t>
        </is>
      </c>
      <c r="D148" s="4" t="inlineStr">
        <is>
          <t>Licence</t>
        </is>
      </c>
      <c r="E148" s="4" t="inlineStr">
        <is>
          <t>L3</t>
        </is>
      </c>
      <c r="F148" s="4" t="inlineStr">
        <is>
          <t>Semestre 6</t>
        </is>
      </c>
      <c r="G148" s="4" t="inlineStr">
        <is>
          <t>Technique d'expression écrite et orale</t>
        </is>
      </c>
      <c r="H148" s="4" t="inlineStr">
        <is>
          <t>Anglais en organisation d'événements sportifs</t>
        </is>
      </c>
      <c r="I148" s="16" t="n">
        <v>1</v>
      </c>
      <c r="J148" s="16" t="n">
        <v>2</v>
      </c>
      <c r="K148" s="4" t="inlineStr">
        <is>
          <t>Langues &amp; communication</t>
        </is>
      </c>
      <c r="L148" s="4" t="inlineStr">
        <is>
          <t>MS|Semestre 6|Technique d'expression écrite et orale</t>
        </is>
      </c>
    </row>
    <row r="149">
      <c r="A149" s="18" t="inlineStr">
        <is>
          <t>MS</t>
        </is>
      </c>
      <c r="B149" s="18" t="inlineStr">
        <is>
          <t>Management du Sport (MS)</t>
        </is>
      </c>
      <c r="C149" s="18" t="inlineStr">
        <is>
          <t>ENSEPS</t>
        </is>
      </c>
      <c r="D149" s="18" t="inlineStr">
        <is>
          <t>Master</t>
        </is>
      </c>
      <c r="E149" s="18" t="inlineStr">
        <is>
          <t>M1</t>
        </is>
      </c>
      <c r="F149" s="18" t="inlineStr">
        <is>
          <t>Semestre 1 (M1/S7)</t>
        </is>
      </c>
      <c r="G149" s="18" t="inlineStr">
        <is>
          <t>Aspects fondamentaux de la gestion</t>
        </is>
      </c>
      <c r="H149" s="18" t="inlineStr">
        <is>
          <t>ECUE 1 : Événementiel sportif : stratégies de communication des organisations sportives ; ECUE 2 : Marketing des services : publics associatifs et commerciaux</t>
        </is>
      </c>
      <c r="I149" s="17" t="n">
        <v>2</v>
      </c>
      <c r="J149" s="17" t="n">
        <v>4</v>
      </c>
      <c r="K149" s="18" t="inlineStr">
        <is>
          <t>Management / droit / économie</t>
        </is>
      </c>
      <c r="L149" s="18" t="inlineStr">
        <is>
          <t>MS|Semestre 1 (M1/S7)|Aspects fondamentaux de la gestion</t>
        </is>
      </c>
    </row>
    <row r="150">
      <c r="A150" s="4" t="inlineStr">
        <is>
          <t>MS</t>
        </is>
      </c>
      <c r="B150" s="4" t="inlineStr">
        <is>
          <t>Management du Sport (MS)</t>
        </is>
      </c>
      <c r="C150" s="4" t="inlineStr">
        <is>
          <t>ENSEPS</t>
        </is>
      </c>
      <c r="D150" s="4" t="inlineStr">
        <is>
          <t>Master</t>
        </is>
      </c>
      <c r="E150" s="4" t="inlineStr">
        <is>
          <t>M1</t>
        </is>
      </c>
      <c r="F150" s="4" t="inlineStr">
        <is>
          <t>Semestre 1 (M1/S7)</t>
        </is>
      </c>
      <c r="G150" s="4" t="inlineStr">
        <is>
          <t>Analyse stratégique</t>
        </is>
      </c>
      <c r="H150" s="4" t="inlineStr">
        <is>
          <t>ECUE 1 : Étude de cas marketing : le marché des produits et services de sport et loisirs ; ECUE 2 : Étude de cas : analyse et évaluation de l'action publique</t>
        </is>
      </c>
      <c r="I150" s="16" t="n">
        <v>2</v>
      </c>
      <c r="J150" s="16" t="n">
        <v>6</v>
      </c>
      <c r="K150" s="4" t="inlineStr">
        <is>
          <t>Management / droit / économie</t>
        </is>
      </c>
      <c r="L150" s="4" t="inlineStr">
        <is>
          <t>MS|Semestre 1 (M1/S7)|Analyse stratégique</t>
        </is>
      </c>
    </row>
    <row r="151">
      <c r="A151" s="18" t="inlineStr">
        <is>
          <t>MS</t>
        </is>
      </c>
      <c r="B151" s="18" t="inlineStr">
        <is>
          <t>Management du Sport (MS)</t>
        </is>
      </c>
      <c r="C151" s="18" t="inlineStr">
        <is>
          <t>ENSEPS</t>
        </is>
      </c>
      <c r="D151" s="18" t="inlineStr">
        <is>
          <t>Master</t>
        </is>
      </c>
      <c r="E151" s="18" t="inlineStr">
        <is>
          <t>M1</t>
        </is>
      </c>
      <c r="F151" s="18" t="inlineStr">
        <is>
          <t>Semestre 1 (M1/S7)</t>
        </is>
      </c>
      <c r="G151" s="18" t="inlineStr">
        <is>
          <t>Gestion publique</t>
        </is>
      </c>
      <c r="H151" s="18" t="inlineStr">
        <is>
          <t>Rédaction administrative et techniques de conduite de réunion</t>
        </is>
      </c>
      <c r="I151" s="17" t="n">
        <v>1</v>
      </c>
      <c r="J151" s="17" t="n">
        <v>3</v>
      </c>
      <c r="K151" s="18" t="inlineStr">
        <is>
          <t>Management / droit / économie</t>
        </is>
      </c>
      <c r="L151" s="18" t="inlineStr">
        <is>
          <t>MS|Semestre 1 (M1/S7)|Gestion publique</t>
        </is>
      </c>
    </row>
    <row r="152">
      <c r="A152" s="4" t="inlineStr">
        <is>
          <t>MS</t>
        </is>
      </c>
      <c r="B152" s="4" t="inlineStr">
        <is>
          <t>Management du Sport (MS)</t>
        </is>
      </c>
      <c r="C152" s="4" t="inlineStr">
        <is>
          <t>ENSEPS</t>
        </is>
      </c>
      <c r="D152" s="4" t="inlineStr">
        <is>
          <t>Master</t>
        </is>
      </c>
      <c r="E152" s="4" t="inlineStr">
        <is>
          <t>M1</t>
        </is>
      </c>
      <c r="F152" s="4" t="inlineStr">
        <is>
          <t>Semestre 1 (M1/S7)</t>
        </is>
      </c>
      <c r="G152" s="4" t="inlineStr">
        <is>
          <t>Finances publiques</t>
        </is>
      </c>
      <c r="H152" s="4" t="inlineStr">
        <is>
          <t>Analyse des procédures d'exécution du budget</t>
        </is>
      </c>
      <c r="I152" s="16" t="n">
        <v>1</v>
      </c>
      <c r="J152" s="16" t="n">
        <v>2</v>
      </c>
      <c r="K152" s="4" t="inlineStr">
        <is>
          <t>Management / droit / économie</t>
        </is>
      </c>
      <c r="L152" s="4" t="inlineStr">
        <is>
          <t>MS|Semestre 1 (M1/S7)|Finances publiques</t>
        </is>
      </c>
    </row>
    <row r="153">
      <c r="A153" s="18" t="inlineStr">
        <is>
          <t>MS</t>
        </is>
      </c>
      <c r="B153" s="18" t="inlineStr">
        <is>
          <t>Management du Sport (MS)</t>
        </is>
      </c>
      <c r="C153" s="18" t="inlineStr">
        <is>
          <t>ENSEPS</t>
        </is>
      </c>
      <c r="D153" s="18" t="inlineStr">
        <is>
          <t>Master</t>
        </is>
      </c>
      <c r="E153" s="18" t="inlineStr">
        <is>
          <t>M1</t>
        </is>
      </c>
      <c r="F153" s="18" t="inlineStr">
        <is>
          <t>Semestre 1 (M1/S7)</t>
        </is>
      </c>
      <c r="G153" s="18" t="inlineStr">
        <is>
          <t>Professionnalisation</t>
        </is>
      </c>
      <c r="H153" s="18" t="inlineStr">
        <is>
          <t>Stage professionnel dans une structure du Ministère des Sports : élaboration d'un projet</t>
        </is>
      </c>
      <c r="I153" s="17" t="n">
        <v>1</v>
      </c>
      <c r="J153" s="17" t="n">
        <v>4</v>
      </c>
      <c r="K153" s="18" t="inlineStr">
        <is>
          <t>Professionnalisation / stages</t>
        </is>
      </c>
      <c r="L153" s="18" t="inlineStr">
        <is>
          <t>MS|Semestre 1 (M1/S7)|Professionnalisation</t>
        </is>
      </c>
    </row>
    <row r="154">
      <c r="A154" s="4" t="inlineStr">
        <is>
          <t>MS</t>
        </is>
      </c>
      <c r="B154" s="4" t="inlineStr">
        <is>
          <t>Management du Sport (MS)</t>
        </is>
      </c>
      <c r="C154" s="4" t="inlineStr">
        <is>
          <t>ENSEPS</t>
        </is>
      </c>
      <c r="D154" s="4" t="inlineStr">
        <is>
          <t>Master</t>
        </is>
      </c>
      <c r="E154" s="4" t="inlineStr">
        <is>
          <t>M1</t>
        </is>
      </c>
      <c r="F154" s="4" t="inlineStr">
        <is>
          <t>Semestre 1 (M1/S7)</t>
        </is>
      </c>
      <c r="G154" s="4" t="inlineStr">
        <is>
          <t>Spécialisation théorique et pratique dans une APS</t>
        </is>
      </c>
      <c r="H154" s="4" t="inlineStr">
        <is>
          <t>APS de spécialité</t>
        </is>
      </c>
      <c r="I154" s="16" t="n">
        <v>1</v>
      </c>
      <c r="J154" s="16" t="n">
        <v>3</v>
      </c>
      <c r="K154" s="4" t="inlineStr">
        <is>
          <t>Pratiques sportives (APS)</t>
        </is>
      </c>
      <c r="L154" s="4" t="inlineStr">
        <is>
          <t>MS|Semestre 1 (M1/S7)|Spécialisation théorique et pratique dans une APS</t>
        </is>
      </c>
    </row>
    <row r="155">
      <c r="A155" s="18" t="inlineStr">
        <is>
          <t>MS</t>
        </is>
      </c>
      <c r="B155" s="18" t="inlineStr">
        <is>
          <t>Management du Sport (MS)</t>
        </is>
      </c>
      <c r="C155" s="18" t="inlineStr">
        <is>
          <t>ENSEPS</t>
        </is>
      </c>
      <c r="D155" s="18" t="inlineStr">
        <is>
          <t>Master</t>
        </is>
      </c>
      <c r="E155" s="18" t="inlineStr">
        <is>
          <t>M1</t>
        </is>
      </c>
      <c r="F155" s="18" t="inlineStr">
        <is>
          <t>Semestre 1 (M1/S7)</t>
        </is>
      </c>
      <c r="G155" s="18" t="inlineStr">
        <is>
          <t>Théorie de la méthodologie de la recherche</t>
        </is>
      </c>
      <c r="H155" s="18" t="inlineStr">
        <is>
          <t>Méthodologie de la recherche scientifique 2 : conception des instruments de collecte de données</t>
        </is>
      </c>
      <c r="I155" s="17" t="n">
        <v>1</v>
      </c>
      <c r="J155" s="17" t="n">
        <v>3</v>
      </c>
      <c r="K155" s="18" t="inlineStr">
        <is>
          <t>Recherche &amp; méthodologie</t>
        </is>
      </c>
      <c r="L155" s="18" t="inlineStr">
        <is>
          <t>MS|Semestre 1 (M1/S7)|Théorie de la méthodologie de la recherche</t>
        </is>
      </c>
    </row>
    <row r="156">
      <c r="A156" s="4" t="inlineStr">
        <is>
          <t>MS</t>
        </is>
      </c>
      <c r="B156" s="4" t="inlineStr">
        <is>
          <t>Management du Sport (MS)</t>
        </is>
      </c>
      <c r="C156" s="4" t="inlineStr">
        <is>
          <t>ENSEPS</t>
        </is>
      </c>
      <c r="D156" s="4" t="inlineStr">
        <is>
          <t>Master</t>
        </is>
      </c>
      <c r="E156" s="4" t="inlineStr">
        <is>
          <t>M1</t>
        </is>
      </c>
      <c r="F156" s="4" t="inlineStr">
        <is>
          <t>Semestre 1 (M1/S7)</t>
        </is>
      </c>
      <c r="G156" s="4" t="inlineStr">
        <is>
          <t>Formation à la recherche</t>
        </is>
      </c>
      <c r="H156" s="4" t="inlineStr">
        <is>
          <t>Séminaire de recherche en management du sport</t>
        </is>
      </c>
      <c r="I156" s="16" t="n">
        <v>1</v>
      </c>
      <c r="J156" s="16" t="n">
        <v>3</v>
      </c>
      <c r="K156" s="4" t="inlineStr">
        <is>
          <t>Recherche &amp; méthodologie</t>
        </is>
      </c>
      <c r="L156" s="4" t="inlineStr">
        <is>
          <t>MS|Semestre 1 (M1/S7)|Formation à la recherche</t>
        </is>
      </c>
    </row>
    <row r="157">
      <c r="A157" s="18" t="inlineStr">
        <is>
          <t>MS</t>
        </is>
      </c>
      <c r="B157" s="18" t="inlineStr">
        <is>
          <t>Management du Sport (MS)</t>
        </is>
      </c>
      <c r="C157" s="18" t="inlineStr">
        <is>
          <t>ENSEPS</t>
        </is>
      </c>
      <c r="D157" s="18" t="inlineStr">
        <is>
          <t>Master</t>
        </is>
      </c>
      <c r="E157" s="18" t="inlineStr">
        <is>
          <t>M1</t>
        </is>
      </c>
      <c r="F157" s="18" t="inlineStr">
        <is>
          <t>Semestre 1 (M1/S7)</t>
        </is>
      </c>
      <c r="G157" s="18" t="inlineStr">
        <is>
          <t>Technique d'expression écrite et orale</t>
        </is>
      </c>
      <c r="H157" s="18" t="inlineStr">
        <is>
          <t>Anglais professionnel</t>
        </is>
      </c>
      <c r="I157" s="17" t="n">
        <v>1</v>
      </c>
      <c r="J157" s="17" t="n">
        <v>2</v>
      </c>
      <c r="K157" s="18" t="inlineStr">
        <is>
          <t>Langues &amp; communication</t>
        </is>
      </c>
      <c r="L157" s="18" t="inlineStr">
        <is>
          <t>MS|Semestre 1 (M1/S7)|Technique d'expression écrite et orale</t>
        </is>
      </c>
    </row>
    <row r="158">
      <c r="A158" s="4" t="inlineStr">
        <is>
          <t>MS</t>
        </is>
      </c>
      <c r="B158" s="4" t="inlineStr">
        <is>
          <t>Management du Sport (MS)</t>
        </is>
      </c>
      <c r="C158" s="4" t="inlineStr">
        <is>
          <t>ENSEPS</t>
        </is>
      </c>
      <c r="D158" s="4" t="inlineStr">
        <is>
          <t>Master</t>
        </is>
      </c>
      <c r="E158" s="4" t="inlineStr">
        <is>
          <t>M2</t>
        </is>
      </c>
      <c r="F158" s="4" t="inlineStr">
        <is>
          <t>Semestre 3 (M2/S9)</t>
        </is>
      </c>
      <c r="G158" s="4" t="inlineStr">
        <is>
          <t>Professionnalisation</t>
        </is>
      </c>
      <c r="H158" s="4" t="inlineStr">
        <is>
          <t>Stage milieu professionnel</t>
        </is>
      </c>
      <c r="I158" s="16" t="n">
        <v>1</v>
      </c>
      <c r="J158" s="16" t="n">
        <v>15</v>
      </c>
      <c r="K158" s="4" t="inlineStr">
        <is>
          <t>Professionnalisation / stages</t>
        </is>
      </c>
      <c r="L158" s="4" t="inlineStr">
        <is>
          <t>MS|Semestre 3 (M2/S9)|Professionnalisation</t>
        </is>
      </c>
    </row>
    <row r="159">
      <c r="A159" s="18" t="inlineStr">
        <is>
          <t>MS</t>
        </is>
      </c>
      <c r="B159" s="18" t="inlineStr">
        <is>
          <t>Management du Sport (MS)</t>
        </is>
      </c>
      <c r="C159" s="18" t="inlineStr">
        <is>
          <t>ENSEPS</t>
        </is>
      </c>
      <c r="D159" s="18" t="inlineStr">
        <is>
          <t>Master</t>
        </is>
      </c>
      <c r="E159" s="18" t="inlineStr">
        <is>
          <t>M2</t>
        </is>
      </c>
      <c r="F159" s="18" t="inlineStr">
        <is>
          <t>Semestre 3 (M2/S9)</t>
        </is>
      </c>
      <c r="G159" s="18" t="inlineStr">
        <is>
          <t>Formation à la recherche</t>
        </is>
      </c>
      <c r="H159" s="18" t="inlineStr">
        <is>
          <t>Séminaire de recherche 3</t>
        </is>
      </c>
      <c r="I159" s="17" t="n">
        <v>1</v>
      </c>
      <c r="J159" s="17" t="n">
        <v>7</v>
      </c>
      <c r="K159" s="18" t="inlineStr">
        <is>
          <t>Recherche &amp; méthodologie</t>
        </is>
      </c>
      <c r="L159" s="18" t="inlineStr">
        <is>
          <t>MS|Semestre 3 (M2/S9)|Formation à la recherche</t>
        </is>
      </c>
    </row>
    <row r="160">
      <c r="A160" s="4" t="inlineStr">
        <is>
          <t>MS</t>
        </is>
      </c>
      <c r="B160" s="4" t="inlineStr">
        <is>
          <t>Management du Sport (MS)</t>
        </is>
      </c>
      <c r="C160" s="4" t="inlineStr">
        <is>
          <t>ENSEPS</t>
        </is>
      </c>
      <c r="D160" s="4" t="inlineStr">
        <is>
          <t>Master</t>
        </is>
      </c>
      <c r="E160" s="4" t="inlineStr">
        <is>
          <t>M2</t>
        </is>
      </c>
      <c r="F160" s="4" t="inlineStr">
        <is>
          <t>Semestre 3 (M2/S9)</t>
        </is>
      </c>
      <c r="G160" s="4" t="inlineStr">
        <is>
          <t>Méthodologie de la recherche</t>
        </is>
      </c>
      <c r="H160" s="4" t="inlineStr">
        <is>
          <t>ECUE 1 : Méthodologie de la recherche scientifique 3 : analyse des données et discussion ; ECUE 2 : Statistiques descriptives et inférentielles 2</t>
        </is>
      </c>
      <c r="I160" s="16" t="n">
        <v>2</v>
      </c>
      <c r="J160" s="16" t="n">
        <v>8</v>
      </c>
      <c r="K160" s="4" t="inlineStr">
        <is>
          <t>Recherche &amp; méthodologie</t>
        </is>
      </c>
      <c r="L160" s="4" t="inlineStr">
        <is>
          <t>MS|Semestre 3 (M2/S9)|Méthodologie de la recherche</t>
        </is>
      </c>
    </row>
    <row r="161">
      <c r="A161" s="18" t="inlineStr">
        <is>
          <t>MS</t>
        </is>
      </c>
      <c r="B161" s="18" t="inlineStr">
        <is>
          <t>Management du Sport (MS)</t>
        </is>
      </c>
      <c r="C161" s="18" t="inlineStr">
        <is>
          <t>ENSEPS</t>
        </is>
      </c>
      <c r="D161" s="18" t="inlineStr">
        <is>
          <t>Master</t>
        </is>
      </c>
      <c r="E161" s="18" t="inlineStr">
        <is>
          <t>M2</t>
        </is>
      </c>
      <c r="F161" s="18" t="inlineStr">
        <is>
          <t>Semestre 4 (M2/S10)</t>
        </is>
      </c>
      <c r="G161" s="18" t="inlineStr">
        <is>
          <t>Formation à la recherche</t>
        </is>
      </c>
      <c r="H161" s="18" t="inlineStr">
        <is>
          <t>Travaux de recherche : mémoire</t>
        </is>
      </c>
      <c r="I161" s="17" t="n">
        <v>1</v>
      </c>
      <c r="J161" s="17" t="n">
        <v>15</v>
      </c>
      <c r="K161" s="18" t="inlineStr">
        <is>
          <t>Recherche &amp; méthodologie</t>
        </is>
      </c>
      <c r="L161" s="18" t="inlineStr">
        <is>
          <t>MS|Semestre 4 (M2/S10)|Formation à la recherche</t>
        </is>
      </c>
    </row>
    <row r="162">
      <c r="A162" s="4" t="inlineStr">
        <is>
          <t>MS</t>
        </is>
      </c>
      <c r="B162" s="4" t="inlineStr">
        <is>
          <t>Management du Sport (MS)</t>
        </is>
      </c>
      <c r="C162" s="4" t="inlineStr">
        <is>
          <t>ENSEPS</t>
        </is>
      </c>
      <c r="D162" s="4" t="inlineStr">
        <is>
          <t>Master</t>
        </is>
      </c>
      <c r="E162" s="4" t="inlineStr">
        <is>
          <t>M2</t>
        </is>
      </c>
      <c r="F162" s="4" t="inlineStr">
        <is>
          <t>Semestre 4 (M2/S10)</t>
        </is>
      </c>
      <c r="G162" s="4" t="inlineStr">
        <is>
          <t>Formation professionnelle</t>
        </is>
      </c>
      <c r="H162" s="4" t="inlineStr">
        <is>
          <t>Stage milieu professionnel</t>
        </is>
      </c>
      <c r="I162" s="16" t="n">
        <v>1</v>
      </c>
      <c r="J162" s="16" t="n">
        <v>15</v>
      </c>
      <c r="K162" s="4" t="inlineStr">
        <is>
          <t>Professionnalisation / stages</t>
        </is>
      </c>
      <c r="L162" s="4" t="inlineStr">
        <is>
          <t>MS|Semestre 4 (M2/S10)|Formation professionnelle</t>
        </is>
      </c>
    </row>
    <row r="163">
      <c r="A163" s="18" t="inlineStr">
        <is>
          <t>ES</t>
        </is>
      </c>
      <c r="B163" s="18" t="inlineStr">
        <is>
          <t>Entraînement Sportif (ES)</t>
        </is>
      </c>
      <c r="C163" s="18" t="inlineStr">
        <is>
          <t>ENSEPS</t>
        </is>
      </c>
      <c r="D163" s="18" t="inlineStr">
        <is>
          <t>Licence</t>
        </is>
      </c>
      <c r="E163" s="18" t="inlineStr">
        <is>
          <t>L1</t>
        </is>
      </c>
      <c r="F163" s="18" t="inlineStr">
        <is>
          <t>Semestre 1</t>
        </is>
      </c>
      <c r="G163" s="18" t="inlineStr">
        <is>
          <t>Sciences de la vie et de la santé</t>
        </is>
      </c>
      <c r="H163" s="18" t="inlineStr">
        <is>
          <t>ECUE 1 : Anatomie descriptive du squelette appendiculaire ; ECUE 2 : Anatomie fonctionnelle du corps humain</t>
        </is>
      </c>
      <c r="I163" s="17" t="n">
        <v>2</v>
      </c>
      <c r="J163" s="17" t="n">
        <v>6</v>
      </c>
      <c r="K163" s="18" t="inlineStr">
        <is>
          <t>Sciences biomédicales</t>
        </is>
      </c>
      <c r="L163" s="18" t="inlineStr">
        <is>
          <t>ES|Semestre 1|Sciences de la vie et de la santé</t>
        </is>
      </c>
    </row>
    <row r="164">
      <c r="A164" s="4" t="inlineStr">
        <is>
          <t>ES</t>
        </is>
      </c>
      <c r="B164" s="4" t="inlineStr">
        <is>
          <t>Entraînement Sportif (ES)</t>
        </is>
      </c>
      <c r="C164" s="4" t="inlineStr">
        <is>
          <t>ENSEPS</t>
        </is>
      </c>
      <c r="D164" s="4" t="inlineStr">
        <is>
          <t>Licence</t>
        </is>
      </c>
      <c r="E164" s="4" t="inlineStr">
        <is>
          <t>L1</t>
        </is>
      </c>
      <c r="F164" s="4" t="inlineStr">
        <is>
          <t>Semestre 1</t>
        </is>
      </c>
      <c r="G164" s="4" t="inlineStr">
        <is>
          <t>Sciences humaines et sociales</t>
        </is>
      </c>
      <c r="H164" s="4" t="inlineStr">
        <is>
          <t>ECUE 1 : Introduction à la psychologie générale ; ECUE 2 : Psychologie de l'apprentissage et du développement</t>
        </is>
      </c>
      <c r="I164" s="16" t="n">
        <v>2</v>
      </c>
      <c r="J164" s="16" t="n">
        <v>4</v>
      </c>
      <c r="K164" s="4" t="inlineStr">
        <is>
          <t>Sciences humaines &amp; sociales</t>
        </is>
      </c>
      <c r="L164" s="4" t="inlineStr">
        <is>
          <t>ES|Semestre 1|Sciences humaines et sociales</t>
        </is>
      </c>
    </row>
    <row r="165">
      <c r="A165" s="18" t="inlineStr">
        <is>
          <t>ES</t>
        </is>
      </c>
      <c r="B165" s="18" t="inlineStr">
        <is>
          <t>Entraînement Sportif (ES)</t>
        </is>
      </c>
      <c r="C165" s="18" t="inlineStr">
        <is>
          <t>ENSEPS</t>
        </is>
      </c>
      <c r="D165" s="18" t="inlineStr">
        <is>
          <t>Licence</t>
        </is>
      </c>
      <c r="E165" s="18" t="inlineStr">
        <is>
          <t>L1</t>
        </is>
      </c>
      <c r="F165" s="18" t="inlineStr">
        <is>
          <t>Semestre 1</t>
        </is>
      </c>
      <c r="G165" s="18" t="inlineStr">
        <is>
          <t>Sciences de l'intervention</t>
        </is>
      </c>
      <c r="H165" s="18" t="inlineStr">
        <is>
          <t>Concepts de base en intervention des APS</t>
        </is>
      </c>
      <c r="I165" s="17" t="n">
        <v>1</v>
      </c>
      <c r="J165" s="17" t="n">
        <v>2</v>
      </c>
      <c r="K165" s="18" t="inlineStr">
        <is>
          <t>EPS / didactique-pédagogie</t>
        </is>
      </c>
      <c r="L165" s="18" t="inlineStr">
        <is>
          <t>ES|Semestre 1|Sciences de l'intervention</t>
        </is>
      </c>
    </row>
    <row r="166">
      <c r="A166" s="4" t="inlineStr">
        <is>
          <t>ES</t>
        </is>
      </c>
      <c r="B166" s="4" t="inlineStr">
        <is>
          <t>Entraînement Sportif (ES)</t>
        </is>
      </c>
      <c r="C166" s="4" t="inlineStr">
        <is>
          <t>ENSEPS</t>
        </is>
      </c>
      <c r="D166" s="4" t="inlineStr">
        <is>
          <t>Licence</t>
        </is>
      </c>
      <c r="E166" s="4" t="inlineStr">
        <is>
          <t>L1</t>
        </is>
      </c>
      <c r="F166" s="4" t="inlineStr">
        <is>
          <t>Semestre 1</t>
        </is>
      </c>
      <c r="G166" s="4" t="inlineStr">
        <is>
          <t>Initiation aux fondamentaux du football</t>
        </is>
      </c>
      <c r="H166" s="4" t="inlineStr">
        <is>
          <t>Football : Fondamentaux</t>
        </is>
      </c>
      <c r="I166" s="16" t="n">
        <v>1</v>
      </c>
      <c r="J166" s="16" t="n">
        <v>3</v>
      </c>
      <c r="K166" s="4" t="inlineStr">
        <is>
          <t>Pratiques sportives (APS)</t>
        </is>
      </c>
      <c r="L166" s="4" t="inlineStr">
        <is>
          <t>ES|Semestre 1|Initiation aux fondamentaux du football</t>
        </is>
      </c>
    </row>
    <row r="167">
      <c r="A167" s="18" t="inlineStr">
        <is>
          <t>ES</t>
        </is>
      </c>
      <c r="B167" s="18" t="inlineStr">
        <is>
          <t>Entraînement Sportif (ES)</t>
        </is>
      </c>
      <c r="C167" s="18" t="inlineStr">
        <is>
          <t>ENSEPS</t>
        </is>
      </c>
      <c r="D167" s="18" t="inlineStr">
        <is>
          <t>Licence</t>
        </is>
      </c>
      <c r="E167" s="18" t="inlineStr">
        <is>
          <t>L1</t>
        </is>
      </c>
      <c r="F167" s="18" t="inlineStr">
        <is>
          <t>Semestre 1</t>
        </is>
      </c>
      <c r="G167" s="18" t="inlineStr">
        <is>
          <t>Initiation aux fondamentaux du handball</t>
        </is>
      </c>
      <c r="H167" s="18" t="inlineStr">
        <is>
          <t>Handball : Fondamentaux</t>
        </is>
      </c>
      <c r="I167" s="17" t="n">
        <v>1</v>
      </c>
      <c r="J167" s="17" t="n">
        <v>3</v>
      </c>
      <c r="K167" s="18" t="inlineStr">
        <is>
          <t>Pratiques sportives (APS)</t>
        </is>
      </c>
      <c r="L167" s="18" t="inlineStr">
        <is>
          <t>ES|Semestre 1|Initiation aux fondamentaux du handball</t>
        </is>
      </c>
    </row>
    <row r="168">
      <c r="A168" s="4" t="inlineStr">
        <is>
          <t>ES</t>
        </is>
      </c>
      <c r="B168" s="4" t="inlineStr">
        <is>
          <t>Entraînement Sportif (ES)</t>
        </is>
      </c>
      <c r="C168" s="4" t="inlineStr">
        <is>
          <t>ENSEPS</t>
        </is>
      </c>
      <c r="D168" s="4" t="inlineStr">
        <is>
          <t>Licence</t>
        </is>
      </c>
      <c r="E168" s="4" t="inlineStr">
        <is>
          <t>L1</t>
        </is>
      </c>
      <c r="F168" s="4" t="inlineStr">
        <is>
          <t>Semestre 1</t>
        </is>
      </c>
      <c r="G168" s="4" t="inlineStr">
        <is>
          <t>Initiation aux fondamentaux de la gymnastique</t>
        </is>
      </c>
      <c r="H168" s="4" t="inlineStr">
        <is>
          <t>Gymnastique : Fondamentaux</t>
        </is>
      </c>
      <c r="I168" s="16" t="n">
        <v>1</v>
      </c>
      <c r="J168" s="16" t="n">
        <v>2</v>
      </c>
      <c r="K168" s="4" t="inlineStr">
        <is>
          <t>Pratiques sportives (APS)</t>
        </is>
      </c>
      <c r="L168" s="4" t="inlineStr">
        <is>
          <t>ES|Semestre 1|Initiation aux fondamentaux de la gymnastique</t>
        </is>
      </c>
    </row>
    <row r="169">
      <c r="A169" s="18" t="inlineStr">
        <is>
          <t>ES</t>
        </is>
      </c>
      <c r="B169" s="18" t="inlineStr">
        <is>
          <t>Entraînement Sportif (ES)</t>
        </is>
      </c>
      <c r="C169" s="18" t="inlineStr">
        <is>
          <t>ENSEPS</t>
        </is>
      </c>
      <c r="D169" s="18" t="inlineStr">
        <is>
          <t>Licence</t>
        </is>
      </c>
      <c r="E169" s="18" t="inlineStr">
        <is>
          <t>L1</t>
        </is>
      </c>
      <c r="F169" s="18" t="inlineStr">
        <is>
          <t>Semestre 1</t>
        </is>
      </c>
      <c r="G169" s="18" t="inlineStr">
        <is>
          <t>Initiation aux fondamentaux de l'athlétisme</t>
        </is>
      </c>
      <c r="H169" s="18" t="inlineStr">
        <is>
          <t>Fondamentaux des courses et des sauts</t>
        </is>
      </c>
      <c r="I169" s="17" t="n">
        <v>1</v>
      </c>
      <c r="J169" s="17" t="n">
        <v>3</v>
      </c>
      <c r="K169" s="18" t="inlineStr">
        <is>
          <t>Pratiques sportives (APS)</t>
        </is>
      </c>
      <c r="L169" s="18" t="inlineStr">
        <is>
          <t>ES|Semestre 1|Initiation aux fondamentaux de l'athlétisme</t>
        </is>
      </c>
    </row>
    <row r="170">
      <c r="A170" s="4" t="inlineStr">
        <is>
          <t>ES</t>
        </is>
      </c>
      <c r="B170" s="4" t="inlineStr">
        <is>
          <t>Entraînement Sportif (ES)</t>
        </is>
      </c>
      <c r="C170" s="4" t="inlineStr">
        <is>
          <t>ENSEPS</t>
        </is>
      </c>
      <c r="D170" s="4" t="inlineStr">
        <is>
          <t>Licence</t>
        </is>
      </c>
      <c r="E170" s="4" t="inlineStr">
        <is>
          <t>L1</t>
        </is>
      </c>
      <c r="F170" s="4" t="inlineStr">
        <is>
          <t>Semestre 1</t>
        </is>
      </c>
      <c r="G170" s="4" t="inlineStr">
        <is>
          <t>Spécialisation théorique et pratique dans une APS</t>
        </is>
      </c>
      <c r="H170" s="4" t="inlineStr">
        <is>
          <t>APS de spécialité (choix d'un sport de spécialité)</t>
        </is>
      </c>
      <c r="I170" s="16" t="n">
        <v>1</v>
      </c>
      <c r="J170" s="16" t="n">
        <v>3</v>
      </c>
      <c r="K170" s="4" t="inlineStr">
        <is>
          <t>Pratiques sportives (APS)</t>
        </is>
      </c>
      <c r="L170" s="4" t="inlineStr">
        <is>
          <t>ES|Semestre 1|Spécialisation théorique et pratique dans une APS</t>
        </is>
      </c>
    </row>
    <row r="171">
      <c r="A171" s="18" t="inlineStr">
        <is>
          <t>ES</t>
        </is>
      </c>
      <c r="B171" s="18" t="inlineStr">
        <is>
          <t>Entraînement Sportif (ES)</t>
        </is>
      </c>
      <c r="C171" s="18" t="inlineStr">
        <is>
          <t>ENSEPS</t>
        </is>
      </c>
      <c r="D171" s="18" t="inlineStr">
        <is>
          <t>Licence</t>
        </is>
      </c>
      <c r="E171" s="18" t="inlineStr">
        <is>
          <t>L1</t>
        </is>
      </c>
      <c r="F171" s="18" t="inlineStr">
        <is>
          <t>Semestre 1</t>
        </is>
      </c>
      <c r="G171" s="18" t="inlineStr">
        <is>
          <t>Techniques de communication écrite et orale</t>
        </is>
      </c>
      <c r="H171" s="18" t="inlineStr">
        <is>
          <t>ECUE 1 : Étude des styles de rédaction en langue française ; ECUE 2 : Anglais : vocabulaire du sport</t>
        </is>
      </c>
      <c r="I171" s="17" t="n">
        <v>2</v>
      </c>
      <c r="J171" s="17" t="n">
        <v>4</v>
      </c>
      <c r="K171" s="18" t="inlineStr">
        <is>
          <t>Langues &amp; communication</t>
        </is>
      </c>
      <c r="L171" s="18" t="inlineStr">
        <is>
          <t>ES|Semestre 1|Techniques de communication écrite et orale</t>
        </is>
      </c>
    </row>
    <row r="172">
      <c r="A172" s="4" t="inlineStr">
        <is>
          <t>ES</t>
        </is>
      </c>
      <c r="B172" s="4" t="inlineStr">
        <is>
          <t>Entraînement Sportif (ES)</t>
        </is>
      </c>
      <c r="C172" s="4" t="inlineStr">
        <is>
          <t>ENSEPS</t>
        </is>
      </c>
      <c r="D172" s="4" t="inlineStr">
        <is>
          <t>Licence</t>
        </is>
      </c>
      <c r="E172" s="4" t="inlineStr">
        <is>
          <t>L1</t>
        </is>
      </c>
      <c r="F172" s="4" t="inlineStr">
        <is>
          <t>Semestre 2</t>
        </is>
      </c>
      <c r="G172" s="4" t="inlineStr">
        <is>
          <t>Sciences de la vie et de la santé</t>
        </is>
      </c>
      <c r="H172" s="4" t="inlineStr">
        <is>
          <t>ECUE 1 : Physiologie neuromusculaire, métabolisme et APS ; ECUE 2 : Physiologie des grandes fonctions</t>
        </is>
      </c>
      <c r="I172" s="16" t="n">
        <v>2</v>
      </c>
      <c r="J172" s="16" t="n">
        <v>6</v>
      </c>
      <c r="K172" s="4" t="inlineStr">
        <is>
          <t>Sciences biomédicales</t>
        </is>
      </c>
      <c r="L172" s="4" t="inlineStr">
        <is>
          <t>ES|Semestre 2|Sciences de la vie et de la santé</t>
        </is>
      </c>
    </row>
    <row r="173">
      <c r="A173" s="18" t="inlineStr">
        <is>
          <t>ES</t>
        </is>
      </c>
      <c r="B173" s="18" t="inlineStr">
        <is>
          <t>Entraînement Sportif (ES)</t>
        </is>
      </c>
      <c r="C173" s="18" t="inlineStr">
        <is>
          <t>ENSEPS</t>
        </is>
      </c>
      <c r="D173" s="18" t="inlineStr">
        <is>
          <t>Licence</t>
        </is>
      </c>
      <c r="E173" s="18" t="inlineStr">
        <is>
          <t>L1</t>
        </is>
      </c>
      <c r="F173" s="18" t="inlineStr">
        <is>
          <t>Semestre 2</t>
        </is>
      </c>
      <c r="G173" s="18" t="inlineStr">
        <is>
          <t>Sciences humaines et sociales 1</t>
        </is>
      </c>
      <c r="H173" s="18" t="inlineStr">
        <is>
          <t>ECUE 1 : Introduction à la sociologie ; ECUE 2 : Sociologie du jeu et des APS</t>
        </is>
      </c>
      <c r="I173" s="17" t="n">
        <v>2</v>
      </c>
      <c r="J173" s="17" t="n">
        <v>4</v>
      </c>
      <c r="K173" s="18" t="inlineStr">
        <is>
          <t>Sciences humaines &amp; sociales</t>
        </is>
      </c>
      <c r="L173" s="18" t="inlineStr">
        <is>
          <t>ES|Semestre 2|Sciences humaines et sociales 1</t>
        </is>
      </c>
    </row>
    <row r="174">
      <c r="A174" s="4" t="inlineStr">
        <is>
          <t>ES</t>
        </is>
      </c>
      <c r="B174" s="4" t="inlineStr">
        <is>
          <t>Entraînement Sportif (ES)</t>
        </is>
      </c>
      <c r="C174" s="4" t="inlineStr">
        <is>
          <t>ENSEPS</t>
        </is>
      </c>
      <c r="D174" s="4" t="inlineStr">
        <is>
          <t>Licence</t>
        </is>
      </c>
      <c r="E174" s="4" t="inlineStr">
        <is>
          <t>L1</t>
        </is>
      </c>
      <c r="F174" s="4" t="inlineStr">
        <is>
          <t>Semestre 2</t>
        </is>
      </c>
      <c r="G174" s="4" t="inlineStr">
        <is>
          <t>Initiation aux fondamentaux du rugby</t>
        </is>
      </c>
      <c r="H174" s="4" t="inlineStr">
        <is>
          <t>Rugby : Fondamentaux</t>
        </is>
      </c>
      <c r="I174" s="16" t="n">
        <v>1</v>
      </c>
      <c r="J174" s="16" t="n">
        <v>3</v>
      </c>
      <c r="K174" s="4" t="inlineStr">
        <is>
          <t>Pratiques sportives (APS)</t>
        </is>
      </c>
      <c r="L174" s="4" t="inlineStr">
        <is>
          <t>ES|Semestre 2|Initiation aux fondamentaux du rugby</t>
        </is>
      </c>
    </row>
    <row r="175">
      <c r="A175" s="18" t="inlineStr">
        <is>
          <t>ES</t>
        </is>
      </c>
      <c r="B175" s="18" t="inlineStr">
        <is>
          <t>Entraînement Sportif (ES)</t>
        </is>
      </c>
      <c r="C175" s="18" t="inlineStr">
        <is>
          <t>ENSEPS</t>
        </is>
      </c>
      <c r="D175" s="18" t="inlineStr">
        <is>
          <t>Licence</t>
        </is>
      </c>
      <c r="E175" s="18" t="inlineStr">
        <is>
          <t>L1</t>
        </is>
      </c>
      <c r="F175" s="18" t="inlineStr">
        <is>
          <t>Semestre 2</t>
        </is>
      </c>
      <c r="G175" s="18" t="inlineStr">
        <is>
          <t>Initiation aux fondamentaux du basketball</t>
        </is>
      </c>
      <c r="H175" s="18" t="inlineStr">
        <is>
          <t>Basketball : Fondamentaux</t>
        </is>
      </c>
      <c r="I175" s="17" t="n">
        <v>1</v>
      </c>
      <c r="J175" s="17" t="n">
        <v>3</v>
      </c>
      <c r="K175" s="18" t="inlineStr">
        <is>
          <t>Pratiques sportives (APS)</t>
        </is>
      </c>
      <c r="L175" s="18" t="inlineStr">
        <is>
          <t>ES|Semestre 2|Initiation aux fondamentaux du basketball</t>
        </is>
      </c>
    </row>
    <row r="176">
      <c r="A176" s="4" t="inlineStr">
        <is>
          <t>ES</t>
        </is>
      </c>
      <c r="B176" s="4" t="inlineStr">
        <is>
          <t>Entraînement Sportif (ES)</t>
        </is>
      </c>
      <c r="C176" s="4" t="inlineStr">
        <is>
          <t>ENSEPS</t>
        </is>
      </c>
      <c r="D176" s="4" t="inlineStr">
        <is>
          <t>Licence</t>
        </is>
      </c>
      <c r="E176" s="4" t="inlineStr">
        <is>
          <t>L1</t>
        </is>
      </c>
      <c r="F176" s="4" t="inlineStr">
        <is>
          <t>Semestre 2</t>
        </is>
      </c>
      <c r="G176" s="4" t="inlineStr">
        <is>
          <t>Initiation aux fondamentaux de la gymnastique II</t>
        </is>
      </c>
      <c r="H176" s="4" t="inlineStr">
        <is>
          <t>Gymnastique 2 : fondamentaux</t>
        </is>
      </c>
      <c r="I176" s="16" t="n">
        <v>1</v>
      </c>
      <c r="J176" s="16" t="n">
        <v>3</v>
      </c>
      <c r="K176" s="4" t="inlineStr">
        <is>
          <t>Pratiques sportives (APS)</t>
        </is>
      </c>
      <c r="L176" s="4" t="inlineStr">
        <is>
          <t>ES|Semestre 2|Initiation aux fondamentaux de la gymnastique II</t>
        </is>
      </c>
    </row>
    <row r="177">
      <c r="A177" s="18" t="inlineStr">
        <is>
          <t>ES</t>
        </is>
      </c>
      <c r="B177" s="18" t="inlineStr">
        <is>
          <t>Entraînement Sportif (ES)</t>
        </is>
      </c>
      <c r="C177" s="18" t="inlineStr">
        <is>
          <t>ENSEPS</t>
        </is>
      </c>
      <c r="D177" s="18" t="inlineStr">
        <is>
          <t>Licence</t>
        </is>
      </c>
      <c r="E177" s="18" t="inlineStr">
        <is>
          <t>L1</t>
        </is>
      </c>
      <c r="F177" s="18" t="inlineStr">
        <is>
          <t>Semestre 2</t>
        </is>
      </c>
      <c r="G177" s="18" t="inlineStr">
        <is>
          <t>Initiation aux fondamentaux de l'athlétisme II</t>
        </is>
      </c>
      <c r="H177" s="18" t="inlineStr">
        <is>
          <t>Fondamentaux des courses de vitesse et des lancers</t>
        </is>
      </c>
      <c r="I177" s="17" t="n">
        <v>1</v>
      </c>
      <c r="J177" s="17" t="n">
        <v>3</v>
      </c>
      <c r="K177" s="18" t="inlineStr">
        <is>
          <t>Pratiques sportives (APS)</t>
        </is>
      </c>
      <c r="L177" s="18" t="inlineStr">
        <is>
          <t>ES|Semestre 2|Initiation aux fondamentaux de l'athlétisme II</t>
        </is>
      </c>
    </row>
    <row r="178">
      <c r="A178" s="4" t="inlineStr">
        <is>
          <t>ES</t>
        </is>
      </c>
      <c r="B178" s="4" t="inlineStr">
        <is>
          <t>Entraînement Sportif (ES)</t>
        </is>
      </c>
      <c r="C178" s="4" t="inlineStr">
        <is>
          <t>ENSEPS</t>
        </is>
      </c>
      <c r="D178" s="4" t="inlineStr">
        <is>
          <t>Licence</t>
        </is>
      </c>
      <c r="E178" s="4" t="inlineStr">
        <is>
          <t>L1</t>
        </is>
      </c>
      <c r="F178" s="4" t="inlineStr">
        <is>
          <t>Semestre 2</t>
        </is>
      </c>
      <c r="G178" s="4" t="inlineStr">
        <is>
          <t>Spécialisation théorique et pratique dans une APS</t>
        </is>
      </c>
      <c r="H178" s="4" t="inlineStr">
        <is>
          <t>APS de spécialité (choix d'un sport de spécialité)</t>
        </is>
      </c>
      <c r="I178" s="16" t="n">
        <v>1</v>
      </c>
      <c r="J178" s="16" t="n">
        <v>3</v>
      </c>
      <c r="K178" s="4" t="inlineStr">
        <is>
          <t>Pratiques sportives (APS)</t>
        </is>
      </c>
      <c r="L178" s="4" t="inlineStr">
        <is>
          <t>ES|Semestre 2|Spécialisation théorique et pratique dans une APS</t>
        </is>
      </c>
    </row>
    <row r="179">
      <c r="A179" s="18" t="inlineStr">
        <is>
          <t>ES</t>
        </is>
      </c>
      <c r="B179" s="18" t="inlineStr">
        <is>
          <t>Entraînement Sportif (ES)</t>
        </is>
      </c>
      <c r="C179" s="18" t="inlineStr">
        <is>
          <t>ENSEPS</t>
        </is>
      </c>
      <c r="D179" s="18" t="inlineStr">
        <is>
          <t>Licence</t>
        </is>
      </c>
      <c r="E179" s="18" t="inlineStr">
        <is>
          <t>L1</t>
        </is>
      </c>
      <c r="F179" s="18" t="inlineStr">
        <is>
          <t>Semestre 2</t>
        </is>
      </c>
      <c r="G179" s="18" t="inlineStr">
        <is>
          <t>Initiation à l'environnement des TIC</t>
        </is>
      </c>
      <c r="H179" s="18" t="inlineStr">
        <is>
          <t>Formation à Microsoft Office Word</t>
        </is>
      </c>
      <c r="I179" s="17" t="n">
        <v>1</v>
      </c>
      <c r="J179" s="17" t="n">
        <v>1</v>
      </c>
      <c r="K179" s="18" t="inlineStr">
        <is>
          <t>TIC / bureautique</t>
        </is>
      </c>
      <c r="L179" s="18" t="inlineStr">
        <is>
          <t>ES|Semestre 2|Initiation à l'environnement des TIC</t>
        </is>
      </c>
    </row>
    <row r="180">
      <c r="A180" s="4" t="inlineStr">
        <is>
          <t>ES</t>
        </is>
      </c>
      <c r="B180" s="4" t="inlineStr">
        <is>
          <t>Entraînement Sportif (ES)</t>
        </is>
      </c>
      <c r="C180" s="4" t="inlineStr">
        <is>
          <t>ENSEPS</t>
        </is>
      </c>
      <c r="D180" s="4" t="inlineStr">
        <is>
          <t>Licence</t>
        </is>
      </c>
      <c r="E180" s="4" t="inlineStr">
        <is>
          <t>L1</t>
        </is>
      </c>
      <c r="F180" s="4" t="inlineStr">
        <is>
          <t>Semestre 2</t>
        </is>
      </c>
      <c r="G180" s="4" t="inlineStr">
        <is>
          <t>Techniques de communication écrite et orale</t>
        </is>
      </c>
      <c r="H180" s="4" t="inlineStr">
        <is>
          <t>ECUE 1 : Anglais : communication orale (People and places) ; ECUE 2 : Français : expression orale et prise de parole en public</t>
        </is>
      </c>
      <c r="I180" s="16" t="n">
        <v>2</v>
      </c>
      <c r="J180" s="16" t="n">
        <v>4</v>
      </c>
      <c r="K180" s="4" t="inlineStr">
        <is>
          <t>Langues &amp; communication</t>
        </is>
      </c>
      <c r="L180" s="4" t="inlineStr">
        <is>
          <t>ES|Semestre 2|Techniques de communication écrite et orale</t>
        </is>
      </c>
    </row>
    <row r="181">
      <c r="A181" s="18" t="inlineStr">
        <is>
          <t>ES</t>
        </is>
      </c>
      <c r="B181" s="18" t="inlineStr">
        <is>
          <t>Entraînement Sportif (ES)</t>
        </is>
      </c>
      <c r="C181" s="18" t="inlineStr">
        <is>
          <t>ENSEPS</t>
        </is>
      </c>
      <c r="D181" s="18" t="inlineStr">
        <is>
          <t>Licence</t>
        </is>
      </c>
      <c r="E181" s="18" t="inlineStr">
        <is>
          <t>L2</t>
        </is>
      </c>
      <c r="F181" s="18" t="inlineStr">
        <is>
          <t>Semestre 3</t>
        </is>
      </c>
      <c r="G181" s="18" t="inlineStr">
        <is>
          <t>Sciences de la vie et de la santé</t>
        </is>
      </c>
      <c r="H181" s="18" t="inlineStr">
        <is>
          <t>ECUE 1 : Nutrition et APS ; ECUE 2 : Biomécanique du geste</t>
        </is>
      </c>
      <c r="I181" s="17" t="n">
        <v>2</v>
      </c>
      <c r="J181" s="17" t="n">
        <v>4</v>
      </c>
      <c r="K181" s="18" t="inlineStr">
        <is>
          <t>Sciences biomédicales</t>
        </is>
      </c>
      <c r="L181" s="18" t="inlineStr">
        <is>
          <t>ES|Semestre 3|Sciences de la vie et de la santé</t>
        </is>
      </c>
    </row>
    <row r="182">
      <c r="A182" s="4" t="inlineStr">
        <is>
          <t>ES</t>
        </is>
      </c>
      <c r="B182" s="4" t="inlineStr">
        <is>
          <t>Entraînement Sportif (ES)</t>
        </is>
      </c>
      <c r="C182" s="4" t="inlineStr">
        <is>
          <t>ENSEPS</t>
        </is>
      </c>
      <c r="D182" s="4" t="inlineStr">
        <is>
          <t>Licence</t>
        </is>
      </c>
      <c r="E182" s="4" t="inlineStr">
        <is>
          <t>L2</t>
        </is>
      </c>
      <c r="F182" s="4" t="inlineStr">
        <is>
          <t>Semestre 3</t>
        </is>
      </c>
      <c r="G182" s="4" t="inlineStr">
        <is>
          <t>Sciences humaines et sociales appliquées aux APS</t>
        </is>
      </c>
      <c r="H182" s="4" t="inlineStr">
        <is>
          <t>Histoire du sport : naissance et développement du sport moderne</t>
        </is>
      </c>
      <c r="I182" s="16" t="n">
        <v>1</v>
      </c>
      <c r="J182" s="16" t="n">
        <v>2</v>
      </c>
      <c r="K182" s="4" t="inlineStr">
        <is>
          <t>Sciences humaines &amp; sociales</t>
        </is>
      </c>
      <c r="L182" s="4" t="inlineStr">
        <is>
          <t>ES|Semestre 3|Sciences humaines et sociales appliquées aux APS</t>
        </is>
      </c>
    </row>
    <row r="183">
      <c r="A183" s="18" t="inlineStr">
        <is>
          <t>ES</t>
        </is>
      </c>
      <c r="B183" s="18" t="inlineStr">
        <is>
          <t>Entraînement Sportif (ES)</t>
        </is>
      </c>
      <c r="C183" s="18" t="inlineStr">
        <is>
          <t>ENSEPS</t>
        </is>
      </c>
      <c r="D183" s="18" t="inlineStr">
        <is>
          <t>Licence</t>
        </is>
      </c>
      <c r="E183" s="18" t="inlineStr">
        <is>
          <t>L2</t>
        </is>
      </c>
      <c r="F183" s="18" t="inlineStr">
        <is>
          <t>Semestre 3</t>
        </is>
      </c>
      <c r="G183" s="18" t="inlineStr">
        <is>
          <t>Connaissances institutionnelles du sport</t>
        </is>
      </c>
      <c r="H183" s="18" t="inlineStr">
        <is>
          <t>Connaissances institutionnelles et législatives de l'organisation du sport</t>
        </is>
      </c>
      <c r="I183" s="17" t="n">
        <v>1</v>
      </c>
      <c r="J183" s="17" t="n">
        <v>2</v>
      </c>
      <c r="K183" s="18" t="inlineStr">
        <is>
          <t>Sciences humaines &amp; sociales</t>
        </is>
      </c>
      <c r="L183" s="18" t="inlineStr">
        <is>
          <t>ES|Semestre 3|Connaissances institutionnelles du sport</t>
        </is>
      </c>
    </row>
    <row r="184">
      <c r="A184" s="4" t="inlineStr">
        <is>
          <t>ES</t>
        </is>
      </c>
      <c r="B184" s="4" t="inlineStr">
        <is>
          <t>Entraînement Sportif (ES)</t>
        </is>
      </c>
      <c r="C184" s="4" t="inlineStr">
        <is>
          <t>ENSEPS</t>
        </is>
      </c>
      <c r="D184" s="4" t="inlineStr">
        <is>
          <t>Licence</t>
        </is>
      </c>
      <c r="E184" s="4" t="inlineStr">
        <is>
          <t>L2</t>
        </is>
      </c>
      <c r="F184" s="4" t="inlineStr">
        <is>
          <t>Semestre 3</t>
        </is>
      </c>
      <c r="G184" s="4" t="inlineStr">
        <is>
          <t>Initiation aux fondamentaux du volleyball</t>
        </is>
      </c>
      <c r="H184" s="4" t="inlineStr">
        <is>
          <t>Volleyball : Fondamentaux</t>
        </is>
      </c>
      <c r="I184" s="16" t="n">
        <v>1</v>
      </c>
      <c r="J184" s="16" t="n">
        <v>3</v>
      </c>
      <c r="K184" s="4" t="inlineStr">
        <is>
          <t>Pratiques sportives (APS)</t>
        </is>
      </c>
      <c r="L184" s="4" t="inlineStr">
        <is>
          <t>ES|Semestre 3|Initiation aux fondamentaux du volleyball</t>
        </is>
      </c>
    </row>
    <row r="185">
      <c r="A185" s="18" t="inlineStr">
        <is>
          <t>ES</t>
        </is>
      </c>
      <c r="B185" s="18" t="inlineStr">
        <is>
          <t>Entraînement Sportif (ES)</t>
        </is>
      </c>
      <c r="C185" s="18" t="inlineStr">
        <is>
          <t>ENSEPS</t>
        </is>
      </c>
      <c r="D185" s="18" t="inlineStr">
        <is>
          <t>Licence</t>
        </is>
      </c>
      <c r="E185" s="18" t="inlineStr">
        <is>
          <t>L2</t>
        </is>
      </c>
      <c r="F185" s="18" t="inlineStr">
        <is>
          <t>Semestre 3</t>
        </is>
      </c>
      <c r="G185" s="18" t="inlineStr">
        <is>
          <t>Initiation aux sports de combat de préhension</t>
        </is>
      </c>
      <c r="H185" s="18" t="inlineStr">
        <is>
          <t>Judo : Fondamentaux ; Lutte : Fondamentaux</t>
        </is>
      </c>
      <c r="I185" s="17" t="n">
        <v>1</v>
      </c>
      <c r="J185" s="17" t="n">
        <v>2</v>
      </c>
      <c r="K185" s="18" t="inlineStr">
        <is>
          <t>Pratiques sportives (APS)</t>
        </is>
      </c>
      <c r="L185" s="18" t="inlineStr">
        <is>
          <t>ES|Semestre 3|Initiation aux sports de combat de préhension</t>
        </is>
      </c>
    </row>
    <row r="186">
      <c r="A186" s="4" t="inlineStr">
        <is>
          <t>ES</t>
        </is>
      </c>
      <c r="B186" s="4" t="inlineStr">
        <is>
          <t>Entraînement Sportif (ES)</t>
        </is>
      </c>
      <c r="C186" s="4" t="inlineStr">
        <is>
          <t>ENSEPS</t>
        </is>
      </c>
      <c r="D186" s="4" t="inlineStr">
        <is>
          <t>Licence</t>
        </is>
      </c>
      <c r="E186" s="4" t="inlineStr">
        <is>
          <t>L2</t>
        </is>
      </c>
      <c r="F186" s="4" t="inlineStr">
        <is>
          <t>Semestre 3</t>
        </is>
      </c>
      <c r="G186" s="4" t="inlineStr">
        <is>
          <t>Initiation aux sports de combat de percussion</t>
        </is>
      </c>
      <c r="H186" s="4" t="inlineStr">
        <is>
          <t>Boxe : Fondamentaux ; Taekwondo : Fondamentaux</t>
        </is>
      </c>
      <c r="I186" s="16" t="n">
        <v>1</v>
      </c>
      <c r="J186" s="16" t="n">
        <v>2</v>
      </c>
      <c r="K186" s="4" t="inlineStr">
        <is>
          <t>Pratiques sportives (APS)</t>
        </is>
      </c>
      <c r="L186" s="4" t="inlineStr">
        <is>
          <t>ES|Semestre 3|Initiation aux sports de combat de percussion</t>
        </is>
      </c>
    </row>
    <row r="187">
      <c r="A187" s="18" t="inlineStr">
        <is>
          <t>ES</t>
        </is>
      </c>
      <c r="B187" s="18" t="inlineStr">
        <is>
          <t>Entraînement Sportif (ES)</t>
        </is>
      </c>
      <c r="C187" s="18" t="inlineStr">
        <is>
          <t>ENSEPS</t>
        </is>
      </c>
      <c r="D187" s="18" t="inlineStr">
        <is>
          <t>Licence</t>
        </is>
      </c>
      <c r="E187" s="18" t="inlineStr">
        <is>
          <t>L2</t>
        </is>
      </c>
      <c r="F187" s="18" t="inlineStr">
        <is>
          <t>Semestre 3</t>
        </is>
      </c>
      <c r="G187" s="18" t="inlineStr">
        <is>
          <t>Initiation aux sports d'entretien et santé</t>
        </is>
      </c>
      <c r="H187" s="18" t="inlineStr">
        <is>
          <t>Fitness et Conditionnement physique</t>
        </is>
      </c>
      <c r="I187" s="17" t="n">
        <v>1</v>
      </c>
      <c r="J187" s="17" t="n">
        <v>2</v>
      </c>
      <c r="K187" s="18" t="inlineStr">
        <is>
          <t>Pratiques sportives (APS)</t>
        </is>
      </c>
      <c r="L187" s="18" t="inlineStr">
        <is>
          <t>ES|Semestre 3|Initiation aux sports d'entretien et santé</t>
        </is>
      </c>
    </row>
    <row r="188">
      <c r="A188" s="4" t="inlineStr">
        <is>
          <t>ES</t>
        </is>
      </c>
      <c r="B188" s="4" t="inlineStr">
        <is>
          <t>Entraînement Sportif (ES)</t>
        </is>
      </c>
      <c r="C188" s="4" t="inlineStr">
        <is>
          <t>ENSEPS</t>
        </is>
      </c>
      <c r="D188" s="4" t="inlineStr">
        <is>
          <t>Licence</t>
        </is>
      </c>
      <c r="E188" s="4" t="inlineStr">
        <is>
          <t>L2</t>
        </is>
      </c>
      <c r="F188" s="4" t="inlineStr">
        <is>
          <t>Semestre 3</t>
        </is>
      </c>
      <c r="G188" s="4" t="inlineStr">
        <is>
          <t>Matérialisation des plateaux de pratique des APS et performance</t>
        </is>
      </c>
      <c r="H188" s="4" t="inlineStr">
        <is>
          <t>Techniques de traçage des aires de pratique sportive et utilisation des instruments de mesure de la performance</t>
        </is>
      </c>
      <c r="I188" s="16" t="n">
        <v>1</v>
      </c>
      <c r="J188" s="16" t="n">
        <v>3</v>
      </c>
      <c r="K188" s="4" t="inlineStr">
        <is>
          <t>Pratiques sportives (APS)</t>
        </is>
      </c>
      <c r="L188" s="4" t="inlineStr">
        <is>
          <t>ES|Semestre 3|Matérialisation des plateaux de pratique des APS et performance</t>
        </is>
      </c>
    </row>
    <row r="189">
      <c r="A189" s="18" t="inlineStr">
        <is>
          <t>ES</t>
        </is>
      </c>
      <c r="B189" s="18" t="inlineStr">
        <is>
          <t>Entraînement Sportif (ES)</t>
        </is>
      </c>
      <c r="C189" s="18" t="inlineStr">
        <is>
          <t>ENSEPS</t>
        </is>
      </c>
      <c r="D189" s="18" t="inlineStr">
        <is>
          <t>Licence</t>
        </is>
      </c>
      <c r="E189" s="18" t="inlineStr">
        <is>
          <t>L2</t>
        </is>
      </c>
      <c r="F189" s="18" t="inlineStr">
        <is>
          <t>Semestre 3</t>
        </is>
      </c>
      <c r="G189" s="18" t="inlineStr">
        <is>
          <t>Spécialisation théorique et pratique dans une APS</t>
        </is>
      </c>
      <c r="H189" s="18" t="inlineStr">
        <is>
          <t>APS de spécialité (choix d'un sport de spécialité)</t>
        </is>
      </c>
      <c r="I189" s="17" t="n">
        <v>1</v>
      </c>
      <c r="J189" s="17" t="n">
        <v>3</v>
      </c>
      <c r="K189" s="18" t="inlineStr">
        <is>
          <t>Pratiques sportives (APS)</t>
        </is>
      </c>
      <c r="L189" s="18" t="inlineStr">
        <is>
          <t>ES|Semestre 3|Spécialisation théorique et pratique dans une APS</t>
        </is>
      </c>
    </row>
    <row r="190">
      <c r="A190" s="4" t="inlineStr">
        <is>
          <t>ES</t>
        </is>
      </c>
      <c r="B190" s="4" t="inlineStr">
        <is>
          <t>Entraînement Sportif (ES)</t>
        </is>
      </c>
      <c r="C190" s="4" t="inlineStr">
        <is>
          <t>ENSEPS</t>
        </is>
      </c>
      <c r="D190" s="4" t="inlineStr">
        <is>
          <t>Licence</t>
        </is>
      </c>
      <c r="E190" s="4" t="inlineStr">
        <is>
          <t>L2</t>
        </is>
      </c>
      <c r="F190" s="4" t="inlineStr">
        <is>
          <t>Semestre 3</t>
        </is>
      </c>
      <c r="G190" s="4" t="inlineStr">
        <is>
          <t>Pré-professionnalisation</t>
        </is>
      </c>
      <c r="H190" s="4" t="inlineStr">
        <is>
          <t>Stage pédagogique au primaire : animation sportive 1re étape</t>
        </is>
      </c>
      <c r="I190" s="16" t="n">
        <v>1</v>
      </c>
      <c r="J190" s="16" t="n">
        <v>3</v>
      </c>
      <c r="K190" s="4" t="inlineStr">
        <is>
          <t>Professionnalisation / stages</t>
        </is>
      </c>
      <c r="L190" s="4" t="inlineStr">
        <is>
          <t>ES|Semestre 3|Pré-professionnalisation</t>
        </is>
      </c>
    </row>
    <row r="191">
      <c r="A191" s="18" t="inlineStr">
        <is>
          <t>ES</t>
        </is>
      </c>
      <c r="B191" s="18" t="inlineStr">
        <is>
          <t>Entraînement Sportif (ES)</t>
        </is>
      </c>
      <c r="C191" s="18" t="inlineStr">
        <is>
          <t>ENSEPS</t>
        </is>
      </c>
      <c r="D191" s="18" t="inlineStr">
        <is>
          <t>Licence</t>
        </is>
      </c>
      <c r="E191" s="18" t="inlineStr">
        <is>
          <t>L2</t>
        </is>
      </c>
      <c r="F191" s="18" t="inlineStr">
        <is>
          <t>Semestre 3</t>
        </is>
      </c>
      <c r="G191" s="18" t="inlineStr">
        <is>
          <t>Techniques d'expression écrite et orale</t>
        </is>
      </c>
      <c r="H191" s="18" t="inlineStr">
        <is>
          <t>ECUE 1 : Anglais : communication orale (People and places : sport) ; ECUE 2 : Français : expression orale et prise de parole en public</t>
        </is>
      </c>
      <c r="I191" s="17" t="n">
        <v>2</v>
      </c>
      <c r="J191" s="17" t="n">
        <v>4</v>
      </c>
      <c r="K191" s="18" t="inlineStr">
        <is>
          <t>Langues &amp; communication</t>
        </is>
      </c>
      <c r="L191" s="18" t="inlineStr">
        <is>
          <t>ES|Semestre 3|Techniques d'expression écrite et orale</t>
        </is>
      </c>
    </row>
    <row r="192">
      <c r="A192" s="4" t="inlineStr">
        <is>
          <t>ES</t>
        </is>
      </c>
      <c r="B192" s="4" t="inlineStr">
        <is>
          <t>Entraînement Sportif (ES)</t>
        </is>
      </c>
      <c r="C192" s="4" t="inlineStr">
        <is>
          <t>ENSEPS</t>
        </is>
      </c>
      <c r="D192" s="4" t="inlineStr">
        <is>
          <t>Licence</t>
        </is>
      </c>
      <c r="E192" s="4" t="inlineStr">
        <is>
          <t>L2</t>
        </is>
      </c>
      <c r="F192" s="4" t="inlineStr">
        <is>
          <t>Semestre 4</t>
        </is>
      </c>
      <c r="G192" s="4" t="inlineStr">
        <is>
          <t>Facteurs biologiques de la performance</t>
        </is>
      </c>
      <c r="H192" s="4" t="inlineStr">
        <is>
          <t>ECUE 1 : Déterminants physiologiques de la performance sportive ; ECUE 2 : Déterminants biomécaniques de la performance sportive</t>
        </is>
      </c>
      <c r="I192" s="16" t="n">
        <v>2</v>
      </c>
      <c r="J192" s="16" t="n">
        <v>4</v>
      </c>
      <c r="K192" s="4" t="inlineStr">
        <is>
          <t>Sciences biomédicales</t>
        </is>
      </c>
      <c r="L192" s="4" t="inlineStr">
        <is>
          <t>ES|Semestre 4|Facteurs biologiques de la performance</t>
        </is>
      </c>
    </row>
    <row r="193">
      <c r="A193" s="18" t="inlineStr">
        <is>
          <t>ES</t>
        </is>
      </c>
      <c r="B193" s="18" t="inlineStr">
        <is>
          <t>Entraînement Sportif (ES)</t>
        </is>
      </c>
      <c r="C193" s="18" t="inlineStr">
        <is>
          <t>ENSEPS</t>
        </is>
      </c>
      <c r="D193" s="18" t="inlineStr">
        <is>
          <t>Licence</t>
        </is>
      </c>
      <c r="E193" s="18" t="inlineStr">
        <is>
          <t>L2</t>
        </is>
      </c>
      <c r="F193" s="18" t="inlineStr">
        <is>
          <t>Semestre 4</t>
        </is>
      </c>
      <c r="G193" s="18" t="inlineStr">
        <is>
          <t>Facteurs psychosociologiques de la performance</t>
        </is>
      </c>
      <c r="H193" s="18" t="inlineStr">
        <is>
          <t>Déterminants psychologiques de la performance sportive</t>
        </is>
      </c>
      <c r="I193" s="17" t="n">
        <v>1</v>
      </c>
      <c r="J193" s="17" t="n">
        <v>2</v>
      </c>
      <c r="K193" s="18" t="inlineStr">
        <is>
          <t>Sciences humaines &amp; sociales</t>
        </is>
      </c>
      <c r="L193" s="18" t="inlineStr">
        <is>
          <t>ES|Semestre 4|Facteurs psychosociologiques de la performance</t>
        </is>
      </c>
    </row>
    <row r="194">
      <c r="A194" s="4" t="inlineStr">
        <is>
          <t>ES</t>
        </is>
      </c>
      <c r="B194" s="4" t="inlineStr">
        <is>
          <t>Entraînement Sportif (ES)</t>
        </is>
      </c>
      <c r="C194" s="4" t="inlineStr">
        <is>
          <t>ENSEPS</t>
        </is>
      </c>
      <c r="D194" s="4" t="inlineStr">
        <is>
          <t>Licence</t>
        </is>
      </c>
      <c r="E194" s="4" t="inlineStr">
        <is>
          <t>L2</t>
        </is>
      </c>
      <c r="F194" s="4" t="inlineStr">
        <is>
          <t>Semestre 4</t>
        </is>
      </c>
      <c r="G194" s="4" t="inlineStr">
        <is>
          <t>Développement des qualités physiques</t>
        </is>
      </c>
      <c r="H194" s="4" t="inlineStr">
        <is>
          <t>ECUE 1 : Techniques de développement des qualités physiques 1 : vitesse, coordination et endurance ; ECUE 2 : idem 2 : force</t>
        </is>
      </c>
      <c r="I194" s="16" t="n">
        <v>2</v>
      </c>
      <c r="J194" s="16" t="n">
        <v>4</v>
      </c>
      <c r="K194" s="4" t="inlineStr">
        <is>
          <t>Entraînement sportif</t>
        </is>
      </c>
      <c r="L194" s="4" t="inlineStr">
        <is>
          <t>ES|Semestre 4|Développement des qualités physiques</t>
        </is>
      </c>
    </row>
    <row r="195">
      <c r="A195" s="18" t="inlineStr">
        <is>
          <t>ES</t>
        </is>
      </c>
      <c r="B195" s="18" t="inlineStr">
        <is>
          <t>Entraînement Sportif (ES)</t>
        </is>
      </c>
      <c r="C195" s="18" t="inlineStr">
        <is>
          <t>ENSEPS</t>
        </is>
      </c>
      <c r="D195" s="18" t="inlineStr">
        <is>
          <t>Licence</t>
        </is>
      </c>
      <c r="E195" s="18" t="inlineStr">
        <is>
          <t>L2</t>
        </is>
      </c>
      <c r="F195" s="18" t="inlineStr">
        <is>
          <t>Semestre 4</t>
        </is>
      </c>
      <c r="G195" s="18" t="inlineStr">
        <is>
          <t>Formation au métier d'entraîneur 1</t>
        </is>
      </c>
      <c r="H195" s="18" t="inlineStr">
        <is>
          <t>Préparation du diplôme fédéral d'entraîneur 1 (pédagogie des 8-12 ans)</t>
        </is>
      </c>
      <c r="I195" s="17" t="n">
        <v>1</v>
      </c>
      <c r="J195" s="17" t="n">
        <v>3</v>
      </c>
      <c r="K195" s="18" t="inlineStr">
        <is>
          <t>Entraînement sportif</t>
        </is>
      </c>
      <c r="L195" s="18" t="inlineStr">
        <is>
          <t>ES|Semestre 4|Formation au métier d'entraîneur 1</t>
        </is>
      </c>
    </row>
    <row r="196">
      <c r="A196" s="4" t="inlineStr">
        <is>
          <t>ES</t>
        </is>
      </c>
      <c r="B196" s="4" t="inlineStr">
        <is>
          <t>Entraînement Sportif (ES)</t>
        </is>
      </c>
      <c r="C196" s="4" t="inlineStr">
        <is>
          <t>ENSEPS</t>
        </is>
      </c>
      <c r="D196" s="4" t="inlineStr">
        <is>
          <t>Licence</t>
        </is>
      </c>
      <c r="E196" s="4" t="inlineStr">
        <is>
          <t>L2</t>
        </is>
      </c>
      <c r="F196" s="4" t="inlineStr">
        <is>
          <t>Semestre 4</t>
        </is>
      </c>
      <c r="G196" s="4" t="inlineStr">
        <is>
          <t>Spécialisation théorique et pratique dans une APS</t>
        </is>
      </c>
      <c r="H196" s="4" t="inlineStr">
        <is>
          <t>Théorie et pratique de l'entraînement de l'APS de spécialité</t>
        </is>
      </c>
      <c r="I196" s="16" t="n">
        <v>1</v>
      </c>
      <c r="J196" s="16" t="n">
        <v>2</v>
      </c>
      <c r="K196" s="4" t="inlineStr">
        <is>
          <t>Pratiques sportives (APS)</t>
        </is>
      </c>
      <c r="L196" s="4" t="inlineStr">
        <is>
          <t>ES|Semestre 4|Spécialisation théorique et pratique dans une APS</t>
        </is>
      </c>
    </row>
    <row r="197">
      <c r="A197" s="18" t="inlineStr">
        <is>
          <t>ES</t>
        </is>
      </c>
      <c r="B197" s="18" t="inlineStr">
        <is>
          <t>Entraînement Sportif (ES)</t>
        </is>
      </c>
      <c r="C197" s="18" t="inlineStr">
        <is>
          <t>ENSEPS</t>
        </is>
      </c>
      <c r="D197" s="18" t="inlineStr">
        <is>
          <t>Licence</t>
        </is>
      </c>
      <c r="E197" s="18" t="inlineStr">
        <is>
          <t>L2</t>
        </is>
      </c>
      <c r="F197" s="18" t="inlineStr">
        <is>
          <t>Semestre 4</t>
        </is>
      </c>
      <c r="G197" s="18" t="inlineStr">
        <is>
          <t>Pratique des APS et entraînement</t>
        </is>
      </c>
      <c r="H197" s="18" t="inlineStr">
        <is>
          <t>Méthodologie de l'entraînement sportif 1</t>
        </is>
      </c>
      <c r="I197" s="17" t="n">
        <v>1</v>
      </c>
      <c r="J197" s="17" t="n">
        <v>3</v>
      </c>
      <c r="K197" s="18" t="inlineStr">
        <is>
          <t>Entraînement sportif</t>
        </is>
      </c>
      <c r="L197" s="18" t="inlineStr">
        <is>
          <t>ES|Semestre 4|Pratique des APS et entraînement</t>
        </is>
      </c>
    </row>
    <row r="198">
      <c r="A198" s="4" t="inlineStr">
        <is>
          <t>ES</t>
        </is>
      </c>
      <c r="B198" s="4" t="inlineStr">
        <is>
          <t>Entraînement Sportif (ES)</t>
        </is>
      </c>
      <c r="C198" s="4" t="inlineStr">
        <is>
          <t>ENSEPS</t>
        </is>
      </c>
      <c r="D198" s="4" t="inlineStr">
        <is>
          <t>Licence</t>
        </is>
      </c>
      <c r="E198" s="4" t="inlineStr">
        <is>
          <t>L2</t>
        </is>
      </c>
      <c r="F198" s="4" t="inlineStr">
        <is>
          <t>Semestre 4</t>
        </is>
      </c>
      <c r="G198" s="4" t="inlineStr">
        <is>
          <t>Pré-professionnalisation</t>
        </is>
      </c>
      <c r="H198" s="4" t="inlineStr">
        <is>
          <t>Stage d'entraîneur dans une structure sportive</t>
        </is>
      </c>
      <c r="I198" s="16" t="n">
        <v>1</v>
      </c>
      <c r="J198" s="16" t="n">
        <v>4</v>
      </c>
      <c r="K198" s="4" t="inlineStr">
        <is>
          <t>Professionnalisation / stages</t>
        </is>
      </c>
      <c r="L198" s="4" t="inlineStr">
        <is>
          <t>ES|Semestre 4|Pré-professionnalisation</t>
        </is>
      </c>
    </row>
    <row r="199">
      <c r="A199" s="18" t="inlineStr">
        <is>
          <t>ES</t>
        </is>
      </c>
      <c r="B199" s="18" t="inlineStr">
        <is>
          <t>Entraînement Sportif (ES)</t>
        </is>
      </c>
      <c r="C199" s="18" t="inlineStr">
        <is>
          <t>ENSEPS</t>
        </is>
      </c>
      <c r="D199" s="18" t="inlineStr">
        <is>
          <t>Licence</t>
        </is>
      </c>
      <c r="E199" s="18" t="inlineStr">
        <is>
          <t>L2</t>
        </is>
      </c>
      <c r="F199" s="18" t="inlineStr">
        <is>
          <t>Semestre 4</t>
        </is>
      </c>
      <c r="G199" s="18" t="inlineStr">
        <is>
          <t>Technologie de l'information et de la communication</t>
        </is>
      </c>
      <c r="H199" s="18" t="inlineStr">
        <is>
          <t>Initiation à l'informatique et application à l'analyse de la performance sportive</t>
        </is>
      </c>
      <c r="I199" s="17" t="n">
        <v>1</v>
      </c>
      <c r="J199" s="17" t="n">
        <v>3</v>
      </c>
      <c r="K199" s="18" t="inlineStr">
        <is>
          <t>TIC / bureautique</t>
        </is>
      </c>
      <c r="L199" s="18" t="inlineStr">
        <is>
          <t>ES|Semestre 4|Technologie de l'information et de la communication</t>
        </is>
      </c>
    </row>
    <row r="200">
      <c r="A200" s="4" t="inlineStr">
        <is>
          <t>ES</t>
        </is>
      </c>
      <c r="B200" s="4" t="inlineStr">
        <is>
          <t>Entraînement Sportif (ES)</t>
        </is>
      </c>
      <c r="C200" s="4" t="inlineStr">
        <is>
          <t>ENSEPS</t>
        </is>
      </c>
      <c r="D200" s="4" t="inlineStr">
        <is>
          <t>Licence</t>
        </is>
      </c>
      <c r="E200" s="4" t="inlineStr">
        <is>
          <t>L2</t>
        </is>
      </c>
      <c r="F200" s="4" t="inlineStr">
        <is>
          <t>Semestre 4</t>
        </is>
      </c>
      <c r="G200" s="4" t="inlineStr">
        <is>
          <t>Méthodologie de la recherche</t>
        </is>
      </c>
      <c r="H200" s="4" t="inlineStr">
        <is>
          <t>Introduction à la méthodologie de la recherche scientifique</t>
        </is>
      </c>
      <c r="I200" s="16" t="n">
        <v>1</v>
      </c>
      <c r="J200" s="16" t="n">
        <v>3</v>
      </c>
      <c r="K200" s="4" t="inlineStr">
        <is>
          <t>Recherche &amp; méthodologie</t>
        </is>
      </c>
      <c r="L200" s="4" t="inlineStr">
        <is>
          <t>ES|Semestre 4|Méthodologie de la recherche</t>
        </is>
      </c>
    </row>
    <row r="201">
      <c r="A201" s="18" t="inlineStr">
        <is>
          <t>ES</t>
        </is>
      </c>
      <c r="B201" s="18" t="inlineStr">
        <is>
          <t>Entraînement Sportif (ES)</t>
        </is>
      </c>
      <c r="C201" s="18" t="inlineStr">
        <is>
          <t>ENSEPS</t>
        </is>
      </c>
      <c r="D201" s="18" t="inlineStr">
        <is>
          <t>Licence</t>
        </is>
      </c>
      <c r="E201" s="18" t="inlineStr">
        <is>
          <t>L2</t>
        </is>
      </c>
      <c r="F201" s="18" t="inlineStr">
        <is>
          <t>Semestre 4</t>
        </is>
      </c>
      <c r="G201" s="18" t="inlineStr">
        <is>
          <t>Technique de communication écrite et orale</t>
        </is>
      </c>
      <c r="H201" s="18" t="inlineStr">
        <is>
          <t>Anglais spécifique à l'entraînement sportif</t>
        </is>
      </c>
      <c r="I201" s="17" t="n">
        <v>1</v>
      </c>
      <c r="J201" s="17" t="n">
        <v>2</v>
      </c>
      <c r="K201" s="18" t="inlineStr">
        <is>
          <t>Langues &amp; communication</t>
        </is>
      </c>
      <c r="L201" s="18" t="inlineStr">
        <is>
          <t>ES|Semestre 4|Technique de communication écrite et orale</t>
        </is>
      </c>
    </row>
    <row r="202">
      <c r="A202" s="4" t="inlineStr">
        <is>
          <t>ES</t>
        </is>
      </c>
      <c r="B202" s="4" t="inlineStr">
        <is>
          <t>Entraînement Sportif (ES)</t>
        </is>
      </c>
      <c r="C202" s="4" t="inlineStr">
        <is>
          <t>ENSEPS</t>
        </is>
      </c>
      <c r="D202" s="4" t="inlineStr">
        <is>
          <t>Licence</t>
        </is>
      </c>
      <c r="E202" s="4" t="inlineStr">
        <is>
          <t>L3</t>
        </is>
      </c>
      <c r="F202" s="4" t="inlineStr">
        <is>
          <t>Semestre 5</t>
        </is>
      </c>
      <c r="G202" s="4" t="inlineStr">
        <is>
          <t>Management des fédérations sportives</t>
        </is>
      </c>
      <c r="H202" s="4" t="inlineStr">
        <is>
          <t>Management des fédérations sportives nationales 1</t>
        </is>
      </c>
      <c r="I202" s="16" t="n">
        <v>1</v>
      </c>
      <c r="J202" s="16" t="n">
        <v>2</v>
      </c>
      <c r="K202" s="4" t="inlineStr">
        <is>
          <t>Entraînement sportif</t>
        </is>
      </c>
      <c r="L202" s="4" t="inlineStr">
        <is>
          <t>ES|Semestre 5|Management des fédérations sportives</t>
        </is>
      </c>
    </row>
    <row r="203">
      <c r="A203" s="18" t="inlineStr">
        <is>
          <t>ES</t>
        </is>
      </c>
      <c r="B203" s="18" t="inlineStr">
        <is>
          <t>Entraînement Sportif (ES)</t>
        </is>
      </c>
      <c r="C203" s="18" t="inlineStr">
        <is>
          <t>ENSEPS</t>
        </is>
      </c>
      <c r="D203" s="18" t="inlineStr">
        <is>
          <t>Licence</t>
        </is>
      </c>
      <c r="E203" s="18" t="inlineStr">
        <is>
          <t>L3</t>
        </is>
      </c>
      <c r="F203" s="18" t="inlineStr">
        <is>
          <t>Semestre 5</t>
        </is>
      </c>
      <c r="G203" s="18" t="inlineStr">
        <is>
          <t>Droit et sport de haut niveau</t>
        </is>
      </c>
      <c r="H203" s="18" t="inlineStr">
        <is>
          <t>Cadre institutionnel et législatif du sport en Côte d'Ivoire</t>
        </is>
      </c>
      <c r="I203" s="17" t="n">
        <v>1</v>
      </c>
      <c r="J203" s="17" t="n">
        <v>2</v>
      </c>
      <c r="K203" s="18" t="inlineStr">
        <is>
          <t>Entraînement sportif</t>
        </is>
      </c>
      <c r="L203" s="18" t="inlineStr">
        <is>
          <t>ES|Semestre 5|Droit et sport de haut niveau</t>
        </is>
      </c>
    </row>
    <row r="204">
      <c r="A204" s="4" t="inlineStr">
        <is>
          <t>ES</t>
        </is>
      </c>
      <c r="B204" s="4" t="inlineStr">
        <is>
          <t>Entraînement Sportif (ES)</t>
        </is>
      </c>
      <c r="C204" s="4" t="inlineStr">
        <is>
          <t>ENSEPS</t>
        </is>
      </c>
      <c r="D204" s="4" t="inlineStr">
        <is>
          <t>Licence</t>
        </is>
      </c>
      <c r="E204" s="4" t="inlineStr">
        <is>
          <t>L3</t>
        </is>
      </c>
      <c r="F204" s="4" t="inlineStr">
        <is>
          <t>Semestre 5</t>
        </is>
      </c>
      <c r="G204" s="4" t="inlineStr">
        <is>
          <t>Pratique des APS et entraînement sportif</t>
        </is>
      </c>
      <c r="H204" s="4" t="inlineStr">
        <is>
          <t>ECUE 1 : Techniques de développement des qualités physiques 3 : étirements, relaxations et massages ; ECUE 2 : idem 4 : musculation sans charge et avec charge (force)</t>
        </is>
      </c>
      <c r="I204" s="16" t="n">
        <v>2</v>
      </c>
      <c r="J204" s="16" t="n">
        <v>4</v>
      </c>
      <c r="K204" s="4" t="inlineStr">
        <is>
          <t>Entraînement sportif</t>
        </is>
      </c>
      <c r="L204" s="4" t="inlineStr">
        <is>
          <t>ES|Semestre 5|Pratique des APS et entraînement sportif</t>
        </is>
      </c>
    </row>
    <row r="205">
      <c r="A205" s="18" t="inlineStr">
        <is>
          <t>ES</t>
        </is>
      </c>
      <c r="B205" s="18" t="inlineStr">
        <is>
          <t>Entraînement Sportif (ES)</t>
        </is>
      </c>
      <c r="C205" s="18" t="inlineStr">
        <is>
          <t>ENSEPS</t>
        </is>
      </c>
      <c r="D205" s="18" t="inlineStr">
        <is>
          <t>Licence</t>
        </is>
      </c>
      <c r="E205" s="18" t="inlineStr">
        <is>
          <t>L3</t>
        </is>
      </c>
      <c r="F205" s="18" t="inlineStr">
        <is>
          <t>Semestre 5</t>
        </is>
      </c>
      <c r="G205" s="18" t="inlineStr">
        <is>
          <t>Formation au métier d'entraîneur 2</t>
        </is>
      </c>
      <c r="H205" s="18" t="inlineStr">
        <is>
          <t>Préparation du diplôme fédéral d'entraîneur 2 (méthodes d'entraînement spécifique)</t>
        </is>
      </c>
      <c r="I205" s="17" t="n">
        <v>1</v>
      </c>
      <c r="J205" s="17" t="n">
        <v>3</v>
      </c>
      <c r="K205" s="18" t="inlineStr">
        <is>
          <t>Entraînement sportif</t>
        </is>
      </c>
      <c r="L205" s="18" t="inlineStr">
        <is>
          <t>ES|Semestre 5|Formation au métier d'entraîneur 2</t>
        </is>
      </c>
    </row>
    <row r="206">
      <c r="A206" s="4" t="inlineStr">
        <is>
          <t>ES</t>
        </is>
      </c>
      <c r="B206" s="4" t="inlineStr">
        <is>
          <t>Entraînement Sportif (ES)</t>
        </is>
      </c>
      <c r="C206" s="4" t="inlineStr">
        <is>
          <t>ENSEPS</t>
        </is>
      </c>
      <c r="D206" s="4" t="inlineStr">
        <is>
          <t>Licence</t>
        </is>
      </c>
      <c r="E206" s="4" t="inlineStr">
        <is>
          <t>L3</t>
        </is>
      </c>
      <c r="F206" s="4" t="inlineStr">
        <is>
          <t>Semestre 5</t>
        </is>
      </c>
      <c r="G206" s="4" t="inlineStr">
        <is>
          <t>Spécialisation théorique et pratique dans une APS</t>
        </is>
      </c>
      <c r="H206" s="4" t="inlineStr">
        <is>
          <t>Théorie et pratique de l'entraînement de l'APS de spécialité</t>
        </is>
      </c>
      <c r="I206" s="16" t="n">
        <v>1</v>
      </c>
      <c r="J206" s="16" t="n">
        <v>5</v>
      </c>
      <c r="K206" s="4" t="inlineStr">
        <is>
          <t>Pratiques sportives (APS)</t>
        </is>
      </c>
      <c r="L206" s="4" t="inlineStr">
        <is>
          <t>ES|Semestre 5|Spécialisation théorique et pratique dans une APS</t>
        </is>
      </c>
    </row>
    <row r="207">
      <c r="A207" s="18" t="inlineStr">
        <is>
          <t>ES</t>
        </is>
      </c>
      <c r="B207" s="18" t="inlineStr">
        <is>
          <t>Entraînement Sportif (ES)</t>
        </is>
      </c>
      <c r="C207" s="18" t="inlineStr">
        <is>
          <t>ENSEPS</t>
        </is>
      </c>
      <c r="D207" s="18" t="inlineStr">
        <is>
          <t>Licence</t>
        </is>
      </c>
      <c r="E207" s="18" t="inlineStr">
        <is>
          <t>L3</t>
        </is>
      </c>
      <c r="F207" s="18" t="inlineStr">
        <is>
          <t>Semestre 5</t>
        </is>
      </c>
      <c r="G207" s="18" t="inlineStr">
        <is>
          <t>Entraînement et performance sportive</t>
        </is>
      </c>
      <c r="H207" s="18" t="inlineStr">
        <is>
          <t>ECUE 1 : Méthodologie de l'entraînement sportif 2 ; ECUE 2 : Intégration des facteurs de la performance sportive</t>
        </is>
      </c>
      <c r="I207" s="17" t="n">
        <v>2</v>
      </c>
      <c r="J207" s="17" t="n">
        <v>6</v>
      </c>
      <c r="K207" s="18" t="inlineStr">
        <is>
          <t>Entraînement sportif</t>
        </is>
      </c>
      <c r="L207" s="18" t="inlineStr">
        <is>
          <t>ES|Semestre 5|Entraînement et performance sportive</t>
        </is>
      </c>
    </row>
    <row r="208">
      <c r="A208" s="4" t="inlineStr">
        <is>
          <t>ES</t>
        </is>
      </c>
      <c r="B208" s="4" t="inlineStr">
        <is>
          <t>Entraînement Sportif (ES)</t>
        </is>
      </c>
      <c r="C208" s="4" t="inlineStr">
        <is>
          <t>ENSEPS</t>
        </is>
      </c>
      <c r="D208" s="4" t="inlineStr">
        <is>
          <t>Licence</t>
        </is>
      </c>
      <c r="E208" s="4" t="inlineStr">
        <is>
          <t>L3</t>
        </is>
      </c>
      <c r="F208" s="4" t="inlineStr">
        <is>
          <t>Semestre 5</t>
        </is>
      </c>
      <c r="G208" s="4" t="inlineStr">
        <is>
          <t>Brevet National de Secourisme</t>
        </is>
      </c>
      <c r="H208" s="4" t="inlineStr">
        <is>
          <t>Préparation au BNS niveau 3</t>
        </is>
      </c>
      <c r="I208" s="16" t="n">
        <v>1</v>
      </c>
      <c r="J208" s="16" t="n">
        <v>2</v>
      </c>
      <c r="K208" s="4" t="inlineStr">
        <is>
          <t>Transversal / civique / secourisme</t>
        </is>
      </c>
      <c r="L208" s="4" t="inlineStr">
        <is>
          <t>ES|Semestre 5|Brevet National de Secourisme</t>
        </is>
      </c>
    </row>
    <row r="209">
      <c r="A209" s="18" t="inlineStr">
        <is>
          <t>ES</t>
        </is>
      </c>
      <c r="B209" s="18" t="inlineStr">
        <is>
          <t>Entraînement Sportif (ES)</t>
        </is>
      </c>
      <c r="C209" s="18" t="inlineStr">
        <is>
          <t>ENSEPS</t>
        </is>
      </c>
      <c r="D209" s="18" t="inlineStr">
        <is>
          <t>Licence</t>
        </is>
      </c>
      <c r="E209" s="18" t="inlineStr">
        <is>
          <t>L3</t>
        </is>
      </c>
      <c r="F209" s="18" t="inlineStr">
        <is>
          <t>Semestre 5</t>
        </is>
      </c>
      <c r="G209" s="18" t="inlineStr">
        <is>
          <t>Méthodologie de la recherche</t>
        </is>
      </c>
      <c r="H209" s="18" t="inlineStr">
        <is>
          <t>Initiation à la méthodologie de la recherche scientifique : élaboration de projet de recherche</t>
        </is>
      </c>
      <c r="I209" s="17" t="n">
        <v>1</v>
      </c>
      <c r="J209" s="17" t="n">
        <v>2</v>
      </c>
      <c r="K209" s="18" t="inlineStr">
        <is>
          <t>Recherche &amp; méthodologie</t>
        </is>
      </c>
      <c r="L209" s="18" t="inlineStr">
        <is>
          <t>ES|Semestre 5|Méthodologie de la recherche</t>
        </is>
      </c>
    </row>
    <row r="210">
      <c r="A210" s="4" t="inlineStr">
        <is>
          <t>ES</t>
        </is>
      </c>
      <c r="B210" s="4" t="inlineStr">
        <is>
          <t>Entraînement Sportif (ES)</t>
        </is>
      </c>
      <c r="C210" s="4" t="inlineStr">
        <is>
          <t>ENSEPS</t>
        </is>
      </c>
      <c r="D210" s="4" t="inlineStr">
        <is>
          <t>Licence</t>
        </is>
      </c>
      <c r="E210" s="4" t="inlineStr">
        <is>
          <t>L3</t>
        </is>
      </c>
      <c r="F210" s="4" t="inlineStr">
        <is>
          <t>Semestre 5</t>
        </is>
      </c>
      <c r="G210" s="4" t="inlineStr">
        <is>
          <t>Technique d'expression écrite et orale</t>
        </is>
      </c>
      <c r="H210" s="4" t="inlineStr">
        <is>
          <t>Anglais spécifique à l'entraînement sportif</t>
        </is>
      </c>
      <c r="I210" s="16" t="n">
        <v>1</v>
      </c>
      <c r="J210" s="16" t="n">
        <v>2</v>
      </c>
      <c r="K210" s="4" t="inlineStr">
        <is>
          <t>Langues &amp; communication</t>
        </is>
      </c>
      <c r="L210" s="4" t="inlineStr">
        <is>
          <t>ES|Semestre 5|Technique d'expression écrite et orale</t>
        </is>
      </c>
    </row>
    <row r="211">
      <c r="A211" s="18" t="inlineStr">
        <is>
          <t>ES</t>
        </is>
      </c>
      <c r="B211" s="18" t="inlineStr">
        <is>
          <t>Entraînement Sportif (ES)</t>
        </is>
      </c>
      <c r="C211" s="18" t="inlineStr">
        <is>
          <t>ENSEPS</t>
        </is>
      </c>
      <c r="D211" s="18" t="inlineStr">
        <is>
          <t>Licence</t>
        </is>
      </c>
      <c r="E211" s="18" t="inlineStr">
        <is>
          <t>L3</t>
        </is>
      </c>
      <c r="F211" s="18" t="inlineStr">
        <is>
          <t>Semestre 5</t>
        </is>
      </c>
      <c r="G211" s="18" t="inlineStr">
        <is>
          <t>Life Skills</t>
        </is>
      </c>
      <c r="H211" s="18" t="inlineStr">
        <is>
          <t>ECUE 1 : Adolescence : éthique et morale en milieu sportif ; ECUE 2 : Culture civique</t>
        </is>
      </c>
      <c r="I211" s="17" t="n">
        <v>2</v>
      </c>
      <c r="J211" s="17" t="n">
        <v>2</v>
      </c>
      <c r="K211" s="18" t="inlineStr">
        <is>
          <t>Transversal / civique / secourisme</t>
        </is>
      </c>
      <c r="L211" s="18" t="inlineStr">
        <is>
          <t>ES|Semestre 5|Life Skills</t>
        </is>
      </c>
    </row>
    <row r="212">
      <c r="A212" s="4" t="inlineStr">
        <is>
          <t>ES</t>
        </is>
      </c>
      <c r="B212" s="4" t="inlineStr">
        <is>
          <t>Entraînement Sportif (ES)</t>
        </is>
      </c>
      <c r="C212" s="4" t="inlineStr">
        <is>
          <t>ENSEPS</t>
        </is>
      </c>
      <c r="D212" s="4" t="inlineStr">
        <is>
          <t>Licence</t>
        </is>
      </c>
      <c r="E212" s="4" t="inlineStr">
        <is>
          <t>L3</t>
        </is>
      </c>
      <c r="F212" s="4" t="inlineStr">
        <is>
          <t>Semestre 6</t>
        </is>
      </c>
      <c r="G212" s="4" t="inlineStr">
        <is>
          <t>Management des fédérations sportives</t>
        </is>
      </c>
      <c r="H212" s="4" t="inlineStr">
        <is>
          <t>Management des fédérations sportives nationales 2</t>
        </is>
      </c>
      <c r="I212" s="16" t="n">
        <v>1</v>
      </c>
      <c r="J212" s="16" t="n">
        <v>2</v>
      </c>
      <c r="K212" s="4" t="inlineStr">
        <is>
          <t>Entraînement sportif</t>
        </is>
      </c>
      <c r="L212" s="4" t="inlineStr">
        <is>
          <t>ES|Semestre 6|Management des fédérations sportives</t>
        </is>
      </c>
    </row>
    <row r="213">
      <c r="A213" s="18" t="inlineStr">
        <is>
          <t>ES</t>
        </is>
      </c>
      <c r="B213" s="18" t="inlineStr">
        <is>
          <t>Entraînement Sportif (ES)</t>
        </is>
      </c>
      <c r="C213" s="18" t="inlineStr">
        <is>
          <t>ENSEPS</t>
        </is>
      </c>
      <c r="D213" s="18" t="inlineStr">
        <is>
          <t>Licence</t>
        </is>
      </c>
      <c r="E213" s="18" t="inlineStr">
        <is>
          <t>L3</t>
        </is>
      </c>
      <c r="F213" s="18" t="inlineStr">
        <is>
          <t>Semestre 6</t>
        </is>
      </c>
      <c r="G213" s="18" t="inlineStr">
        <is>
          <t>Nutrition du sportif</t>
        </is>
      </c>
      <c r="H213" s="18" t="inlineStr">
        <is>
          <t>Diététique et nutrition appliquées à l'entraînement sportif</t>
        </is>
      </c>
      <c r="I213" s="17" t="n">
        <v>1</v>
      </c>
      <c r="J213" s="17" t="n">
        <v>2</v>
      </c>
      <c r="K213" s="18" t="inlineStr">
        <is>
          <t>Sciences biomédicales</t>
        </is>
      </c>
      <c r="L213" s="18" t="inlineStr">
        <is>
          <t>ES|Semestre 6|Nutrition du sportif</t>
        </is>
      </c>
    </row>
    <row r="214">
      <c r="A214" s="4" t="inlineStr">
        <is>
          <t>ES</t>
        </is>
      </c>
      <c r="B214" s="4" t="inlineStr">
        <is>
          <t>Entraînement Sportif (ES)</t>
        </is>
      </c>
      <c r="C214" s="4" t="inlineStr">
        <is>
          <t>ENSEPS</t>
        </is>
      </c>
      <c r="D214" s="4" t="inlineStr">
        <is>
          <t>Licence</t>
        </is>
      </c>
      <c r="E214" s="4" t="inlineStr">
        <is>
          <t>L3</t>
        </is>
      </c>
      <c r="F214" s="4" t="inlineStr">
        <is>
          <t>Semestre 6</t>
        </is>
      </c>
      <c r="G214" s="4" t="inlineStr">
        <is>
          <t>Management de la compétition</t>
        </is>
      </c>
      <c r="H214" s="4" t="inlineStr">
        <is>
          <t>Préparation mentale et coaching d'athlètes en compétition</t>
        </is>
      </c>
      <c r="I214" s="16" t="n">
        <v>1</v>
      </c>
      <c r="J214" s="16" t="n">
        <v>3</v>
      </c>
      <c r="K214" s="4" t="inlineStr">
        <is>
          <t>Entraînement sportif</t>
        </is>
      </c>
      <c r="L214" s="4" t="inlineStr">
        <is>
          <t>ES|Semestre 6|Management de la compétition</t>
        </is>
      </c>
    </row>
    <row r="215">
      <c r="A215" s="18" t="inlineStr">
        <is>
          <t>ES</t>
        </is>
      </c>
      <c r="B215" s="18" t="inlineStr">
        <is>
          <t>Entraînement Sportif (ES)</t>
        </is>
      </c>
      <c r="C215" s="18" t="inlineStr">
        <is>
          <t>ENSEPS</t>
        </is>
      </c>
      <c r="D215" s="18" t="inlineStr">
        <is>
          <t>Licence</t>
        </is>
      </c>
      <c r="E215" s="18" t="inlineStr">
        <is>
          <t>L3</t>
        </is>
      </c>
      <c r="F215" s="18" t="inlineStr">
        <is>
          <t>Semestre 6</t>
        </is>
      </c>
      <c r="G215" s="18" t="inlineStr">
        <is>
          <t>Pratique des APS et entraînement sportif</t>
        </is>
      </c>
      <c r="H215" s="18" t="inlineStr">
        <is>
          <t>ECUE 1 : Techniques d'analyse de la performance sportive ; ECUE 2 : Méthodologie de l'entraînement sportif 3</t>
        </is>
      </c>
      <c r="I215" s="17" t="n">
        <v>2</v>
      </c>
      <c r="J215" s="17" t="n">
        <v>4</v>
      </c>
      <c r="K215" s="18" t="inlineStr">
        <is>
          <t>Entraînement sportif</t>
        </is>
      </c>
      <c r="L215" s="18" t="inlineStr">
        <is>
          <t>ES|Semestre 6|Pratique des APS et entraînement sportif</t>
        </is>
      </c>
    </row>
    <row r="216">
      <c r="A216" s="4" t="inlineStr">
        <is>
          <t>ES</t>
        </is>
      </c>
      <c r="B216" s="4" t="inlineStr">
        <is>
          <t>Entraînement Sportif (ES)</t>
        </is>
      </c>
      <c r="C216" s="4" t="inlineStr">
        <is>
          <t>ENSEPS</t>
        </is>
      </c>
      <c r="D216" s="4" t="inlineStr">
        <is>
          <t>Licence</t>
        </is>
      </c>
      <c r="E216" s="4" t="inlineStr">
        <is>
          <t>L3</t>
        </is>
      </c>
      <c r="F216" s="4" t="inlineStr">
        <is>
          <t>Semestre 6</t>
        </is>
      </c>
      <c r="G216" s="4" t="inlineStr">
        <is>
          <t>Formation au métier d'entraîneur 3</t>
        </is>
      </c>
      <c r="H216" s="4" t="inlineStr">
        <is>
          <t>Préparation du diplôme fédéral d'entraîneur 3 (méthodes d'entraînement cognitives et psychologiques)</t>
        </is>
      </c>
      <c r="I216" s="16" t="n">
        <v>1</v>
      </c>
      <c r="J216" s="16" t="n">
        <v>3</v>
      </c>
      <c r="K216" s="4" t="inlineStr">
        <is>
          <t>Entraînement sportif</t>
        </is>
      </c>
      <c r="L216" s="4" t="inlineStr">
        <is>
          <t>ES|Semestre 6|Formation au métier d'entraîneur 3</t>
        </is>
      </c>
    </row>
    <row r="217">
      <c r="A217" s="18" t="inlineStr">
        <is>
          <t>ES</t>
        </is>
      </c>
      <c r="B217" s="18" t="inlineStr">
        <is>
          <t>Entraînement Sportif (ES)</t>
        </is>
      </c>
      <c r="C217" s="18" t="inlineStr">
        <is>
          <t>ENSEPS</t>
        </is>
      </c>
      <c r="D217" s="18" t="inlineStr">
        <is>
          <t>Licence</t>
        </is>
      </c>
      <c r="E217" s="18" t="inlineStr">
        <is>
          <t>L3</t>
        </is>
      </c>
      <c r="F217" s="18" t="inlineStr">
        <is>
          <t>Semestre 6</t>
        </is>
      </c>
      <c r="G217" s="18" t="inlineStr">
        <is>
          <t>Spécialisation théorique et pratique dans une APS</t>
        </is>
      </c>
      <c r="H217" s="18" t="inlineStr">
        <is>
          <t>Théorie et pratique de l'entraînement de l'APS de spécialité</t>
        </is>
      </c>
      <c r="I217" s="17" t="n">
        <v>1</v>
      </c>
      <c r="J217" s="17" t="n">
        <v>4</v>
      </c>
      <c r="K217" s="18" t="inlineStr">
        <is>
          <t>Pratiques sportives (APS)</t>
        </is>
      </c>
      <c r="L217" s="18" t="inlineStr">
        <is>
          <t>ES|Semestre 6|Spécialisation théorique et pratique dans une APS</t>
        </is>
      </c>
    </row>
    <row r="218">
      <c r="A218" s="4" t="inlineStr">
        <is>
          <t>ES</t>
        </is>
      </c>
      <c r="B218" s="4" t="inlineStr">
        <is>
          <t>Entraînement Sportif (ES)</t>
        </is>
      </c>
      <c r="C218" s="4" t="inlineStr">
        <is>
          <t>ENSEPS</t>
        </is>
      </c>
      <c r="D218" s="4" t="inlineStr">
        <is>
          <t>Licence</t>
        </is>
      </c>
      <c r="E218" s="4" t="inlineStr">
        <is>
          <t>L3</t>
        </is>
      </c>
      <c r="F218" s="4" t="inlineStr">
        <is>
          <t>Semestre 6</t>
        </is>
      </c>
      <c r="G218" s="4" t="inlineStr">
        <is>
          <t>Réathlétisation des athlètes</t>
        </is>
      </c>
      <c r="H218" s="4" t="inlineStr">
        <is>
          <t>Prise en charge d'athlètes en fatigue, surentraînement, blessure et récupération</t>
        </is>
      </c>
      <c r="I218" s="16" t="n">
        <v>1</v>
      </c>
      <c r="J218" s="16" t="n">
        <v>3</v>
      </c>
      <c r="K218" s="4" t="inlineStr">
        <is>
          <t>Entraînement sportif</t>
        </is>
      </c>
      <c r="L218" s="4" t="inlineStr">
        <is>
          <t>ES|Semestre 6|Réathlétisation des athlètes</t>
        </is>
      </c>
    </row>
    <row r="219">
      <c r="A219" s="18" t="inlineStr">
        <is>
          <t>ES</t>
        </is>
      </c>
      <c r="B219" s="18" t="inlineStr">
        <is>
          <t>Entraînement Sportif (ES)</t>
        </is>
      </c>
      <c r="C219" s="18" t="inlineStr">
        <is>
          <t>ENSEPS</t>
        </is>
      </c>
      <c r="D219" s="18" t="inlineStr">
        <is>
          <t>Licence</t>
        </is>
      </c>
      <c r="E219" s="18" t="inlineStr">
        <is>
          <t>L3</t>
        </is>
      </c>
      <c r="F219" s="18" t="inlineStr">
        <is>
          <t>Semestre 6</t>
        </is>
      </c>
      <c r="G219" s="18" t="inlineStr">
        <is>
          <t>Pré-professionnalisation</t>
        </is>
      </c>
      <c r="H219" s="18" t="inlineStr">
        <is>
          <t>Stage d'entraînement dans une fédération sportive</t>
        </is>
      </c>
      <c r="I219" s="17" t="n">
        <v>1</v>
      </c>
      <c r="J219" s="17" t="n">
        <v>4</v>
      </c>
      <c r="K219" s="18" t="inlineStr">
        <is>
          <t>Professionnalisation / stages</t>
        </is>
      </c>
      <c r="L219" s="18" t="inlineStr">
        <is>
          <t>ES|Semestre 6|Pré-professionnalisation</t>
        </is>
      </c>
    </row>
    <row r="220">
      <c r="A220" s="4" t="inlineStr">
        <is>
          <t>ES</t>
        </is>
      </c>
      <c r="B220" s="4" t="inlineStr">
        <is>
          <t>Entraînement Sportif (ES)</t>
        </is>
      </c>
      <c r="C220" s="4" t="inlineStr">
        <is>
          <t>ENSEPS</t>
        </is>
      </c>
      <c r="D220" s="4" t="inlineStr">
        <is>
          <t>Licence</t>
        </is>
      </c>
      <c r="E220" s="4" t="inlineStr">
        <is>
          <t>L3</t>
        </is>
      </c>
      <c r="F220" s="4" t="inlineStr">
        <is>
          <t>Semestre 6</t>
        </is>
      </c>
      <c r="G220" s="4" t="inlineStr">
        <is>
          <t>Formation à la recherche scientifique</t>
        </is>
      </c>
      <c r="H220" s="4" t="inlineStr">
        <is>
          <t>Séminaire de recherche : élaboration de projet de mémoire</t>
        </is>
      </c>
      <c r="I220" s="16" t="n">
        <v>1</v>
      </c>
      <c r="J220" s="16" t="n">
        <v>3</v>
      </c>
      <c r="K220" s="4" t="inlineStr">
        <is>
          <t>Recherche &amp; méthodologie</t>
        </is>
      </c>
      <c r="L220" s="4" t="inlineStr">
        <is>
          <t>ES|Semestre 6|Formation à la recherche scientifique</t>
        </is>
      </c>
    </row>
    <row r="221">
      <c r="A221" s="18" t="inlineStr">
        <is>
          <t>ES</t>
        </is>
      </c>
      <c r="B221" s="18" t="inlineStr">
        <is>
          <t>Entraînement Sportif (ES)</t>
        </is>
      </c>
      <c r="C221" s="18" t="inlineStr">
        <is>
          <t>ENSEPS</t>
        </is>
      </c>
      <c r="D221" s="18" t="inlineStr">
        <is>
          <t>Licence</t>
        </is>
      </c>
      <c r="E221" s="18" t="inlineStr">
        <is>
          <t>L3</t>
        </is>
      </c>
      <c r="F221" s="18" t="inlineStr">
        <is>
          <t>Semestre 6</t>
        </is>
      </c>
      <c r="G221" s="18" t="inlineStr">
        <is>
          <t>Technique d'expression écrite et orale</t>
        </is>
      </c>
      <c r="H221" s="18" t="inlineStr">
        <is>
          <t>Anglais spécifique à l'entraînement sportif</t>
        </is>
      </c>
      <c r="I221" s="17" t="n">
        <v>1</v>
      </c>
      <c r="J221" s="17" t="n">
        <v>2</v>
      </c>
      <c r="K221" s="18" t="inlineStr">
        <is>
          <t>Langues &amp; communication</t>
        </is>
      </c>
      <c r="L221" s="18" t="inlineStr">
        <is>
          <t>ES|Semestre 6|Technique d'expression écrite et orale</t>
        </is>
      </c>
    </row>
    <row r="222">
      <c r="A222" s="4" t="inlineStr">
        <is>
          <t>ES</t>
        </is>
      </c>
      <c r="B222" s="4" t="inlineStr">
        <is>
          <t>Entraînement Sportif (ES)</t>
        </is>
      </c>
      <c r="C222" s="4" t="inlineStr">
        <is>
          <t>ENSEPS</t>
        </is>
      </c>
      <c r="D222" s="4" t="inlineStr">
        <is>
          <t>Master</t>
        </is>
      </c>
      <c r="E222" s="4" t="inlineStr">
        <is>
          <t>M1</t>
        </is>
      </c>
      <c r="F222" s="4" t="inlineStr">
        <is>
          <t>Semestre 1 (M1/S7)</t>
        </is>
      </c>
      <c r="G222" s="4" t="inlineStr">
        <is>
          <t>Sciences humaines et performance sportive</t>
        </is>
      </c>
      <c r="H222" s="4" t="inlineStr">
        <is>
          <t>Déterminants sociologiques de la performance sportive</t>
        </is>
      </c>
      <c r="I222" s="16" t="n">
        <v>1</v>
      </c>
      <c r="J222" s="16" t="n">
        <v>2</v>
      </c>
      <c r="K222" s="4" t="inlineStr">
        <is>
          <t>Sciences humaines &amp; sociales</t>
        </is>
      </c>
      <c r="L222" s="4" t="inlineStr">
        <is>
          <t>ES|Semestre 1 (M1/S7)|Sciences humaines et performance sportive</t>
        </is>
      </c>
    </row>
    <row r="223">
      <c r="A223" s="18" t="inlineStr">
        <is>
          <t>ES</t>
        </is>
      </c>
      <c r="B223" s="18" t="inlineStr">
        <is>
          <t>Entraînement Sportif (ES)</t>
        </is>
      </c>
      <c r="C223" s="18" t="inlineStr">
        <is>
          <t>ENSEPS</t>
        </is>
      </c>
      <c r="D223" s="18" t="inlineStr">
        <is>
          <t>Master</t>
        </is>
      </c>
      <c r="E223" s="18" t="inlineStr">
        <is>
          <t>M1</t>
        </is>
      </c>
      <c r="F223" s="18" t="inlineStr">
        <is>
          <t>Semestre 1 (M1/S7)</t>
        </is>
      </c>
      <c r="G223" s="18" t="inlineStr">
        <is>
          <t>Optimisation de la performance</t>
        </is>
      </c>
      <c r="H223" s="18" t="inlineStr">
        <is>
          <t>Évaluation des qualités physiques et facteurs limitants (endurance, puissance, équilibre, coordination)</t>
        </is>
      </c>
      <c r="I223" s="17" t="n">
        <v>1</v>
      </c>
      <c r="J223" s="17" t="n">
        <v>3</v>
      </c>
      <c r="K223" s="18" t="inlineStr">
        <is>
          <t>Entraînement sportif</t>
        </is>
      </c>
      <c r="L223" s="18" t="inlineStr">
        <is>
          <t>ES|Semestre 1 (M1/S7)|Optimisation de la performance</t>
        </is>
      </c>
    </row>
    <row r="224">
      <c r="A224" s="4" t="inlineStr">
        <is>
          <t>ES</t>
        </is>
      </c>
      <c r="B224" s="4" t="inlineStr">
        <is>
          <t>Entraînement Sportif (ES)</t>
        </is>
      </c>
      <c r="C224" s="4" t="inlineStr">
        <is>
          <t>ENSEPS</t>
        </is>
      </c>
      <c r="D224" s="4" t="inlineStr">
        <is>
          <t>Master</t>
        </is>
      </c>
      <c r="E224" s="4" t="inlineStr">
        <is>
          <t>M1</t>
        </is>
      </c>
      <c r="F224" s="4" t="inlineStr">
        <is>
          <t>Semestre 1 (M1/S7)</t>
        </is>
      </c>
      <c r="G224" s="4" t="inlineStr">
        <is>
          <t>Construction et mise en œuvre du projet de performance</t>
        </is>
      </c>
      <c r="H224" s="4" t="inlineStr">
        <is>
          <t>ECUE 1 : Détecter, sélectionner et former des sportifs de haut niveau ; ECUE 2 : Planification et régulation des composantes de la performance sur la saison</t>
        </is>
      </c>
      <c r="I224" s="16" t="n">
        <v>2</v>
      </c>
      <c r="J224" s="16" t="n">
        <v>6</v>
      </c>
      <c r="K224" s="4" t="inlineStr">
        <is>
          <t>Entraînement sportif</t>
        </is>
      </c>
      <c r="L224" s="4" t="inlineStr">
        <is>
          <t>ES|Semestre 1 (M1/S7)|Construction et mise en œuvre du projet de performance</t>
        </is>
      </c>
    </row>
    <row r="225">
      <c r="A225" s="18" t="inlineStr">
        <is>
          <t>ES</t>
        </is>
      </c>
      <c r="B225" s="18" t="inlineStr">
        <is>
          <t>Entraînement Sportif (ES)</t>
        </is>
      </c>
      <c r="C225" s="18" t="inlineStr">
        <is>
          <t>ENSEPS</t>
        </is>
      </c>
      <c r="D225" s="18" t="inlineStr">
        <is>
          <t>Master</t>
        </is>
      </c>
      <c r="E225" s="18" t="inlineStr">
        <is>
          <t>M1</t>
        </is>
      </c>
      <c r="F225" s="18" t="inlineStr">
        <is>
          <t>Semestre 1 (M1/S7)</t>
        </is>
      </c>
      <c r="G225" s="18" t="inlineStr">
        <is>
          <t>Formation à l'entraînement</t>
        </is>
      </c>
      <c r="H225" s="18" t="inlineStr">
        <is>
          <t>Préparation au brevet fédéral d'entraîneur 1</t>
        </is>
      </c>
      <c r="I225" s="17" t="n">
        <v>1</v>
      </c>
      <c r="J225" s="17" t="n">
        <v>4</v>
      </c>
      <c r="K225" s="18" t="inlineStr">
        <is>
          <t>Entraînement sportif</t>
        </is>
      </c>
      <c r="L225" s="18" t="inlineStr">
        <is>
          <t>ES|Semestre 1 (M1/S7)|Formation à l'entraînement</t>
        </is>
      </c>
    </row>
    <row r="226">
      <c r="A226" s="4" t="inlineStr">
        <is>
          <t>ES</t>
        </is>
      </c>
      <c r="B226" s="4" t="inlineStr">
        <is>
          <t>Entraînement Sportif (ES)</t>
        </is>
      </c>
      <c r="C226" s="4" t="inlineStr">
        <is>
          <t>ENSEPS</t>
        </is>
      </c>
      <c r="D226" s="4" t="inlineStr">
        <is>
          <t>Master</t>
        </is>
      </c>
      <c r="E226" s="4" t="inlineStr">
        <is>
          <t>M1</t>
        </is>
      </c>
      <c r="F226" s="4" t="inlineStr">
        <is>
          <t>Semestre 1 (M1/S7)</t>
        </is>
      </c>
      <c r="G226" s="4" t="inlineStr">
        <is>
          <t>Spécialisation théorique et pratique dans une APS</t>
        </is>
      </c>
      <c r="H226" s="4" t="inlineStr">
        <is>
          <t>APS de spécialité</t>
        </is>
      </c>
      <c r="I226" s="16" t="n">
        <v>1</v>
      </c>
      <c r="J226" s="16" t="n">
        <v>5</v>
      </c>
      <c r="K226" s="4" t="inlineStr">
        <is>
          <t>Pratiques sportives (APS)</t>
        </is>
      </c>
      <c r="L226" s="4" t="inlineStr">
        <is>
          <t>ES|Semestre 1 (M1/S7)|Spécialisation théorique et pratique dans une APS</t>
        </is>
      </c>
    </row>
    <row r="227">
      <c r="A227" s="18" t="inlineStr">
        <is>
          <t>ES</t>
        </is>
      </c>
      <c r="B227" s="18" t="inlineStr">
        <is>
          <t>Entraînement Sportif (ES)</t>
        </is>
      </c>
      <c r="C227" s="18" t="inlineStr">
        <is>
          <t>ENSEPS</t>
        </is>
      </c>
      <c r="D227" s="18" t="inlineStr">
        <is>
          <t>Master</t>
        </is>
      </c>
      <c r="E227" s="18" t="inlineStr">
        <is>
          <t>M1</t>
        </is>
      </c>
      <c r="F227" s="18" t="inlineStr">
        <is>
          <t>Semestre 1 (M1/S7)</t>
        </is>
      </c>
      <c r="G227" s="18" t="inlineStr">
        <is>
          <t>Méthodologie de la recherche : aspects théoriques</t>
        </is>
      </c>
      <c r="H227" s="18" t="inlineStr">
        <is>
          <t>Conception d'instruments de collecte de données</t>
        </is>
      </c>
      <c r="I227" s="17" t="n">
        <v>1</v>
      </c>
      <c r="J227" s="17" t="n">
        <v>4</v>
      </c>
      <c r="K227" s="18" t="inlineStr">
        <is>
          <t>Recherche &amp; méthodologie</t>
        </is>
      </c>
      <c r="L227" s="18" t="inlineStr">
        <is>
          <t>ES|Semestre 1 (M1/S7)|Méthodologie de la recherche : aspects théoriques</t>
        </is>
      </c>
    </row>
    <row r="228">
      <c r="A228" s="4" t="inlineStr">
        <is>
          <t>ES</t>
        </is>
      </c>
      <c r="B228" s="4" t="inlineStr">
        <is>
          <t>Entraînement Sportif (ES)</t>
        </is>
      </c>
      <c r="C228" s="4" t="inlineStr">
        <is>
          <t>ENSEPS</t>
        </is>
      </c>
      <c r="D228" s="4" t="inlineStr">
        <is>
          <t>Master</t>
        </is>
      </c>
      <c r="E228" s="4" t="inlineStr">
        <is>
          <t>M1</t>
        </is>
      </c>
      <c r="F228" s="4" t="inlineStr">
        <is>
          <t>Semestre 1 (M1/S7)</t>
        </is>
      </c>
      <c r="G228" s="4" t="inlineStr">
        <is>
          <t>Formation à la recherche</t>
        </is>
      </c>
      <c r="H228" s="4" t="inlineStr">
        <is>
          <t>Séminaire de recherche en entraînement sportif</t>
        </is>
      </c>
      <c r="I228" s="16" t="n">
        <v>1</v>
      </c>
      <c r="J228" s="16" t="n">
        <v>4</v>
      </c>
      <c r="K228" s="4" t="inlineStr">
        <is>
          <t>Recherche &amp; méthodologie</t>
        </is>
      </c>
      <c r="L228" s="4" t="inlineStr">
        <is>
          <t>ES|Semestre 1 (M1/S7)|Formation à la recherche</t>
        </is>
      </c>
    </row>
    <row r="229">
      <c r="A229" s="18" t="inlineStr">
        <is>
          <t>ES</t>
        </is>
      </c>
      <c r="B229" s="18" t="inlineStr">
        <is>
          <t>Entraînement Sportif (ES)</t>
        </is>
      </c>
      <c r="C229" s="18" t="inlineStr">
        <is>
          <t>ENSEPS</t>
        </is>
      </c>
      <c r="D229" s="18" t="inlineStr">
        <is>
          <t>Master</t>
        </is>
      </c>
      <c r="E229" s="18" t="inlineStr">
        <is>
          <t>M1</t>
        </is>
      </c>
      <c r="F229" s="18" t="inlineStr">
        <is>
          <t>Semestre 1 (M1/S7)</t>
        </is>
      </c>
      <c r="G229" s="18" t="inlineStr">
        <is>
          <t>Technique d'expression écrite et orale</t>
        </is>
      </c>
      <c r="H229" s="18" t="inlineStr">
        <is>
          <t>Anglais professionnel</t>
        </is>
      </c>
      <c r="I229" s="17" t="n">
        <v>1</v>
      </c>
      <c r="J229" s="17" t="n">
        <v>2</v>
      </c>
      <c r="K229" s="18" t="inlineStr">
        <is>
          <t>Langues &amp; communication</t>
        </is>
      </c>
      <c r="L229" s="18" t="inlineStr">
        <is>
          <t>ES|Semestre 1 (M1/S7)|Technique d'expression écrite et orale</t>
        </is>
      </c>
    </row>
    <row r="230">
      <c r="A230" s="4" t="inlineStr">
        <is>
          <t>ES</t>
        </is>
      </c>
      <c r="B230" s="4" t="inlineStr">
        <is>
          <t>Entraînement Sportif (ES)</t>
        </is>
      </c>
      <c r="C230" s="4" t="inlineStr">
        <is>
          <t>ENSEPS</t>
        </is>
      </c>
      <c r="D230" s="4" t="inlineStr">
        <is>
          <t>Master</t>
        </is>
      </c>
      <c r="E230" s="4" t="inlineStr">
        <is>
          <t>M1</t>
        </is>
      </c>
      <c r="F230" s="4" t="inlineStr">
        <is>
          <t>Semestre 2 (M1/S8)</t>
        </is>
      </c>
      <c r="G230" s="4" t="inlineStr">
        <is>
          <t>Adaptation à l'exercice</t>
        </is>
      </c>
      <c r="H230" s="4" t="inlineStr">
        <is>
          <t>ECUE 1 : Adaptation cardiovasculaire à l'exercice ; ECUE 2 : Traumatologie du sport 2</t>
        </is>
      </c>
      <c r="I230" s="16" t="n">
        <v>2</v>
      </c>
      <c r="J230" s="16" t="n">
        <v>4</v>
      </c>
      <c r="K230" s="4" t="inlineStr">
        <is>
          <t>Sciences biomédicales</t>
        </is>
      </c>
      <c r="L230" s="4" t="inlineStr">
        <is>
          <t>ES|Semestre 2 (M1/S8)|Adaptation à l'exercice</t>
        </is>
      </c>
    </row>
    <row r="231">
      <c r="A231" s="18" t="inlineStr">
        <is>
          <t>ES</t>
        </is>
      </c>
      <c r="B231" s="18" t="inlineStr">
        <is>
          <t>Entraînement Sportif (ES)</t>
        </is>
      </c>
      <c r="C231" s="18" t="inlineStr">
        <is>
          <t>ENSEPS</t>
        </is>
      </c>
      <c r="D231" s="18" t="inlineStr">
        <is>
          <t>Master</t>
        </is>
      </c>
      <c r="E231" s="18" t="inlineStr">
        <is>
          <t>M1</t>
        </is>
      </c>
      <c r="F231" s="18" t="inlineStr">
        <is>
          <t>Semestre 2 (M1/S8)</t>
        </is>
      </c>
      <c r="G231" s="18" t="inlineStr">
        <is>
          <t>Spécialisation théorique et pratique dans une APS</t>
        </is>
      </c>
      <c r="H231" s="18" t="inlineStr">
        <is>
          <t>APS de spécialité</t>
        </is>
      </c>
      <c r="I231" s="17" t="n">
        <v>1</v>
      </c>
      <c r="J231" s="17" t="n">
        <v>3</v>
      </c>
      <c r="K231" s="18" t="inlineStr">
        <is>
          <t>Pratiques sportives (APS)</t>
        </is>
      </c>
      <c r="L231" s="18" t="inlineStr">
        <is>
          <t>ES|Semestre 2 (M1/S8)|Spécialisation théorique et pratique dans une APS</t>
        </is>
      </c>
    </row>
    <row r="232">
      <c r="A232" s="4" t="inlineStr">
        <is>
          <t>ES</t>
        </is>
      </c>
      <c r="B232" s="4" t="inlineStr">
        <is>
          <t>Entraînement Sportif (ES)</t>
        </is>
      </c>
      <c r="C232" s="4" t="inlineStr">
        <is>
          <t>ENSEPS</t>
        </is>
      </c>
      <c r="D232" s="4" t="inlineStr">
        <is>
          <t>Master</t>
        </is>
      </c>
      <c r="E232" s="4" t="inlineStr">
        <is>
          <t>M1</t>
        </is>
      </c>
      <c r="F232" s="4" t="inlineStr">
        <is>
          <t>Semestre 2 (M1/S8)</t>
        </is>
      </c>
      <c r="G232" s="4" t="inlineStr">
        <is>
          <t>Formation à l'entraînement</t>
        </is>
      </c>
      <c r="H232" s="4" t="inlineStr">
        <is>
          <t>Préparation au brevet fédéral d'entraîneur 2</t>
        </is>
      </c>
      <c r="I232" s="16" t="n">
        <v>1</v>
      </c>
      <c r="J232" s="16" t="n">
        <v>3</v>
      </c>
      <c r="K232" s="4" t="inlineStr">
        <is>
          <t>Entraînement sportif</t>
        </is>
      </c>
      <c r="L232" s="4" t="inlineStr">
        <is>
          <t>ES|Semestre 2 (M1/S8)|Formation à l'entraînement</t>
        </is>
      </c>
    </row>
    <row r="233">
      <c r="A233" s="18" t="inlineStr">
        <is>
          <t>ES</t>
        </is>
      </c>
      <c r="B233" s="18" t="inlineStr">
        <is>
          <t>Entraînement Sportif (ES)</t>
        </is>
      </c>
      <c r="C233" s="18" t="inlineStr">
        <is>
          <t>ENSEPS</t>
        </is>
      </c>
      <c r="D233" s="18" t="inlineStr">
        <is>
          <t>Master</t>
        </is>
      </c>
      <c r="E233" s="18" t="inlineStr">
        <is>
          <t>M1</t>
        </is>
      </c>
      <c r="F233" s="18" t="inlineStr">
        <is>
          <t>Semestre 2 (M1/S8)</t>
        </is>
      </c>
      <c r="G233" s="18" t="inlineStr">
        <is>
          <t>Secourisme</t>
        </is>
      </c>
      <c r="H233" s="18" t="inlineStr">
        <is>
          <t>Préparation au Brevet National de Secourisme 2</t>
        </is>
      </c>
      <c r="I233" s="17" t="n">
        <v>1</v>
      </c>
      <c r="J233" s="17" t="n">
        <v>2</v>
      </c>
      <c r="K233" s="18" t="inlineStr">
        <is>
          <t>Transversal / civique / secourisme</t>
        </is>
      </c>
      <c r="L233" s="18" t="inlineStr">
        <is>
          <t>ES|Semestre 2 (M1/S8)|Secourisme</t>
        </is>
      </c>
    </row>
    <row r="234">
      <c r="A234" s="4" t="inlineStr">
        <is>
          <t>ES</t>
        </is>
      </c>
      <c r="B234" s="4" t="inlineStr">
        <is>
          <t>Entraînement Sportif (ES)</t>
        </is>
      </c>
      <c r="C234" s="4" t="inlineStr">
        <is>
          <t>ENSEPS</t>
        </is>
      </c>
      <c r="D234" s="4" t="inlineStr">
        <is>
          <t>Master</t>
        </is>
      </c>
      <c r="E234" s="4" t="inlineStr">
        <is>
          <t>M1</t>
        </is>
      </c>
      <c r="F234" s="4" t="inlineStr">
        <is>
          <t>Semestre 2 (M1/S8)</t>
        </is>
      </c>
      <c r="G234" s="4" t="inlineStr">
        <is>
          <t>Formation professionnelle</t>
        </is>
      </c>
      <c r="H234" s="4" t="inlineStr">
        <is>
          <t>Stage professionnel dans un club sportif : élaboration d'un projet</t>
        </is>
      </c>
      <c r="I234" s="16" t="n">
        <v>1</v>
      </c>
      <c r="J234" s="16" t="n">
        <v>5</v>
      </c>
      <c r="K234" s="4" t="inlineStr">
        <is>
          <t>Professionnalisation / stages</t>
        </is>
      </c>
      <c r="L234" s="4" t="inlineStr">
        <is>
          <t>ES|Semestre 2 (M1/S8)|Formation professionnelle</t>
        </is>
      </c>
    </row>
    <row r="235">
      <c r="A235" s="18" t="inlineStr">
        <is>
          <t>ES</t>
        </is>
      </c>
      <c r="B235" s="18" t="inlineStr">
        <is>
          <t>Entraînement Sportif (ES)</t>
        </is>
      </c>
      <c r="C235" s="18" t="inlineStr">
        <is>
          <t>ENSEPS</t>
        </is>
      </c>
      <c r="D235" s="18" t="inlineStr">
        <is>
          <t>Master</t>
        </is>
      </c>
      <c r="E235" s="18" t="inlineStr">
        <is>
          <t>M1</t>
        </is>
      </c>
      <c r="F235" s="18" t="inlineStr">
        <is>
          <t>Semestre 2 (M1/S8)</t>
        </is>
      </c>
      <c r="G235" s="18" t="inlineStr">
        <is>
          <t>Théorie de la méthodologie de la recherche</t>
        </is>
      </c>
      <c r="H235" s="18" t="inlineStr">
        <is>
          <t>Méthodologie de la recherche scientifique 2 : conception des instruments de collecte de données</t>
        </is>
      </c>
      <c r="I235" s="17" t="n">
        <v>1</v>
      </c>
      <c r="J235" s="17" t="n">
        <v>3</v>
      </c>
      <c r="K235" s="18" t="inlineStr">
        <is>
          <t>Recherche &amp; méthodologie</t>
        </is>
      </c>
      <c r="L235" s="18" t="inlineStr">
        <is>
          <t>ES|Semestre 2 (M1/S8)|Théorie de la méthodologie de la recherche</t>
        </is>
      </c>
    </row>
    <row r="236">
      <c r="A236" s="4" t="inlineStr">
        <is>
          <t>ES</t>
        </is>
      </c>
      <c r="B236" s="4" t="inlineStr">
        <is>
          <t>Entraînement Sportif (ES)</t>
        </is>
      </c>
      <c r="C236" s="4" t="inlineStr">
        <is>
          <t>ENSEPS</t>
        </is>
      </c>
      <c r="D236" s="4" t="inlineStr">
        <is>
          <t>Master</t>
        </is>
      </c>
      <c r="E236" s="4" t="inlineStr">
        <is>
          <t>M1</t>
        </is>
      </c>
      <c r="F236" s="4" t="inlineStr">
        <is>
          <t>Semestre 2 (M1/S8)</t>
        </is>
      </c>
      <c r="G236" s="4" t="inlineStr">
        <is>
          <t>Formation à la recherche</t>
        </is>
      </c>
      <c r="H236" s="4" t="inlineStr">
        <is>
          <t>Séminaire de recherche en entraînement sportif</t>
        </is>
      </c>
      <c r="I236" s="16" t="n">
        <v>1</v>
      </c>
      <c r="J236" s="16" t="n">
        <v>4</v>
      </c>
      <c r="K236" s="4" t="inlineStr">
        <is>
          <t>Recherche &amp; méthodologie</t>
        </is>
      </c>
      <c r="L236" s="4" t="inlineStr">
        <is>
          <t>ES|Semestre 2 (M1/S8)|Formation à la recherche</t>
        </is>
      </c>
    </row>
    <row r="237">
      <c r="A237" s="18" t="inlineStr">
        <is>
          <t>ES</t>
        </is>
      </c>
      <c r="B237" s="18" t="inlineStr">
        <is>
          <t>Entraînement Sportif (ES)</t>
        </is>
      </c>
      <c r="C237" s="18" t="inlineStr">
        <is>
          <t>ENSEPS</t>
        </is>
      </c>
      <c r="D237" s="18" t="inlineStr">
        <is>
          <t>Master</t>
        </is>
      </c>
      <c r="E237" s="18" t="inlineStr">
        <is>
          <t>M1</t>
        </is>
      </c>
      <c r="F237" s="18" t="inlineStr">
        <is>
          <t>Semestre 2 (M1/S8)</t>
        </is>
      </c>
      <c r="G237" s="18" t="inlineStr">
        <is>
          <t>Technique d'expression écrite et orale</t>
        </is>
      </c>
      <c r="H237" s="18" t="inlineStr">
        <is>
          <t>Anglais professionnel : analyse d'un système d'entraînement ou de formation</t>
        </is>
      </c>
      <c r="I237" s="17" t="n">
        <v>1</v>
      </c>
      <c r="J237" s="17" t="n">
        <v>2</v>
      </c>
      <c r="K237" s="18" t="inlineStr">
        <is>
          <t>Langues &amp; communication</t>
        </is>
      </c>
      <c r="L237" s="18" t="inlineStr">
        <is>
          <t>ES|Semestre 2 (M1/S8)|Technique d'expression écrite et orale</t>
        </is>
      </c>
    </row>
    <row r="238">
      <c r="A238" s="4" t="inlineStr">
        <is>
          <t>ES</t>
        </is>
      </c>
      <c r="B238" s="4" t="inlineStr">
        <is>
          <t>Entraînement Sportif (ES)</t>
        </is>
      </c>
      <c r="C238" s="4" t="inlineStr">
        <is>
          <t>ENSEPS</t>
        </is>
      </c>
      <c r="D238" s="4" t="inlineStr">
        <is>
          <t>Master</t>
        </is>
      </c>
      <c r="E238" s="4" t="inlineStr">
        <is>
          <t>M1</t>
        </is>
      </c>
      <c r="F238" s="4" t="inlineStr">
        <is>
          <t>Semestre 2 (M1/S8)</t>
        </is>
      </c>
      <c r="G238" s="4" t="inlineStr">
        <is>
          <t>Formation administrative</t>
        </is>
      </c>
      <c r="H238" s="4" t="inlineStr">
        <is>
          <t>ECUE 1 : Droits et devoirs du fonctionnaire ; ECUE 2 : Rédaction administrative</t>
        </is>
      </c>
      <c r="I238" s="16" t="n">
        <v>2</v>
      </c>
      <c r="J238" s="16" t="n">
        <v>4</v>
      </c>
      <c r="K238" s="4" t="inlineStr">
        <is>
          <t>Transversal / civique / secourisme</t>
        </is>
      </c>
      <c r="L238" s="4" t="inlineStr">
        <is>
          <t>ES|Semestre 2 (M1/S8)|Formation administrative</t>
        </is>
      </c>
    </row>
    <row r="239">
      <c r="A239" s="18" t="inlineStr">
        <is>
          <t>ES</t>
        </is>
      </c>
      <c r="B239" s="18" t="inlineStr">
        <is>
          <t>Entraînement Sportif (ES)</t>
        </is>
      </c>
      <c r="C239" s="18" t="inlineStr">
        <is>
          <t>ENSEPS</t>
        </is>
      </c>
      <c r="D239" s="18" t="inlineStr">
        <is>
          <t>Master</t>
        </is>
      </c>
      <c r="E239" s="18" t="inlineStr">
        <is>
          <t>M2</t>
        </is>
      </c>
      <c r="F239" s="18" t="inlineStr">
        <is>
          <t>Semestre 3 (M2/S9)</t>
        </is>
      </c>
      <c r="G239" s="18" t="inlineStr">
        <is>
          <t>Professionnalisation</t>
        </is>
      </c>
      <c r="H239" s="18" t="inlineStr">
        <is>
          <t>Stage professionnel dans un club sportif : conduite d'un projet</t>
        </is>
      </c>
      <c r="I239" s="17" t="n">
        <v>1</v>
      </c>
      <c r="J239" s="17" t="n">
        <v>15</v>
      </c>
      <c r="K239" s="18" t="inlineStr">
        <is>
          <t>Professionnalisation / stages</t>
        </is>
      </c>
      <c r="L239" s="18" t="inlineStr">
        <is>
          <t>ES|Semestre 3 (M2/S9)|Professionnalisation</t>
        </is>
      </c>
    </row>
    <row r="240">
      <c r="A240" s="4" t="inlineStr">
        <is>
          <t>ES</t>
        </is>
      </c>
      <c r="B240" s="4" t="inlineStr">
        <is>
          <t>Entraînement Sportif (ES)</t>
        </is>
      </c>
      <c r="C240" s="4" t="inlineStr">
        <is>
          <t>ENSEPS</t>
        </is>
      </c>
      <c r="D240" s="4" t="inlineStr">
        <is>
          <t>Master</t>
        </is>
      </c>
      <c r="E240" s="4" t="inlineStr">
        <is>
          <t>M2</t>
        </is>
      </c>
      <c r="F240" s="4" t="inlineStr">
        <is>
          <t>Semestre 3 (M2/S9)</t>
        </is>
      </c>
      <c r="G240" s="4" t="inlineStr">
        <is>
          <t>Formation à la recherche</t>
        </is>
      </c>
      <c r="H240" s="4" t="inlineStr">
        <is>
          <t>Séminaire de recherche 3 en entraînement sportif</t>
        </is>
      </c>
      <c r="I240" s="16" t="n">
        <v>1</v>
      </c>
      <c r="J240" s="16" t="n">
        <v>7</v>
      </c>
      <c r="K240" s="4" t="inlineStr">
        <is>
          <t>Recherche &amp; méthodologie</t>
        </is>
      </c>
      <c r="L240" s="4" t="inlineStr">
        <is>
          <t>ES|Semestre 3 (M2/S9)|Formation à la recherche</t>
        </is>
      </c>
    </row>
    <row r="241">
      <c r="A241" s="18" t="inlineStr">
        <is>
          <t>ES</t>
        </is>
      </c>
      <c r="B241" s="18" t="inlineStr">
        <is>
          <t>Entraînement Sportif (ES)</t>
        </is>
      </c>
      <c r="C241" s="18" t="inlineStr">
        <is>
          <t>ENSEPS</t>
        </is>
      </c>
      <c r="D241" s="18" t="inlineStr">
        <is>
          <t>Master</t>
        </is>
      </c>
      <c r="E241" s="18" t="inlineStr">
        <is>
          <t>M2</t>
        </is>
      </c>
      <c r="F241" s="18" t="inlineStr">
        <is>
          <t>Semestre 3 (M2/S9)</t>
        </is>
      </c>
      <c r="G241" s="18" t="inlineStr">
        <is>
          <t>Méthodologie de la recherche</t>
        </is>
      </c>
      <c r="H241" s="18" t="inlineStr">
        <is>
          <t>ECUE 1 : MRS 3 : analyse des données et discussion ; ECUE 2 : Statistiques descriptives et inférentielles 2</t>
        </is>
      </c>
      <c r="I241" s="17" t="n">
        <v>2</v>
      </c>
      <c r="J241" s="17" t="n">
        <v>8</v>
      </c>
      <c r="K241" s="18" t="inlineStr">
        <is>
          <t>Recherche &amp; méthodologie</t>
        </is>
      </c>
      <c r="L241" s="18" t="inlineStr">
        <is>
          <t>ES|Semestre 3 (M2/S9)|Méthodologie de la recherche</t>
        </is>
      </c>
    </row>
    <row r="242">
      <c r="A242" s="4" t="inlineStr">
        <is>
          <t>ES</t>
        </is>
      </c>
      <c r="B242" s="4" t="inlineStr">
        <is>
          <t>Entraînement Sportif (ES)</t>
        </is>
      </c>
      <c r="C242" s="4" t="inlineStr">
        <is>
          <t>ENSEPS</t>
        </is>
      </c>
      <c r="D242" s="4" t="inlineStr">
        <is>
          <t>Master</t>
        </is>
      </c>
      <c r="E242" s="4" t="inlineStr">
        <is>
          <t>M2</t>
        </is>
      </c>
      <c r="F242" s="4" t="inlineStr">
        <is>
          <t>Semestre 4 (M2/S10)</t>
        </is>
      </c>
      <c r="G242" s="4" t="inlineStr">
        <is>
          <t>Formation à la recherche</t>
        </is>
      </c>
      <c r="H242" s="4" t="inlineStr">
        <is>
          <t>Travaux de recherche : mémoire</t>
        </is>
      </c>
      <c r="I242" s="16" t="n">
        <v>1</v>
      </c>
      <c r="J242" s="16" t="n">
        <v>15</v>
      </c>
      <c r="K242" s="4" t="inlineStr">
        <is>
          <t>Recherche &amp; méthodologie</t>
        </is>
      </c>
      <c r="L242" s="4" t="inlineStr">
        <is>
          <t>ES|Semestre 4 (M2/S10)|Formation à la recherche</t>
        </is>
      </c>
    </row>
    <row r="243">
      <c r="A243" s="18" t="inlineStr">
        <is>
          <t>ES</t>
        </is>
      </c>
      <c r="B243" s="18" t="inlineStr">
        <is>
          <t>Entraînement Sportif (ES)</t>
        </is>
      </c>
      <c r="C243" s="18" t="inlineStr">
        <is>
          <t>ENSEPS</t>
        </is>
      </c>
      <c r="D243" s="18" t="inlineStr">
        <is>
          <t>Master</t>
        </is>
      </c>
      <c r="E243" s="18" t="inlineStr">
        <is>
          <t>M2</t>
        </is>
      </c>
      <c r="F243" s="18" t="inlineStr">
        <is>
          <t>Semestre 4 (M2/S10)</t>
        </is>
      </c>
      <c r="G243" s="18" t="inlineStr">
        <is>
          <t>Formation professionnelle</t>
        </is>
      </c>
      <c r="H243" s="18" t="inlineStr">
        <is>
          <t>Stage professionnel dans un club sportif : conduite d'un projet</t>
        </is>
      </c>
      <c r="I243" s="17" t="n">
        <v>1</v>
      </c>
      <c r="J243" s="17" t="n">
        <v>15</v>
      </c>
      <c r="K243" s="18" t="inlineStr">
        <is>
          <t>Professionnalisation / stages</t>
        </is>
      </c>
      <c r="L243" s="18" t="inlineStr">
        <is>
          <t>ES|Semestre 4 (M2/S10)|Formation professionnelle</t>
        </is>
      </c>
    </row>
    <row r="244">
      <c r="A244" s="4" t="inlineStr">
        <is>
          <t>APA</t>
        </is>
      </c>
      <c r="B244" s="4" t="inlineStr">
        <is>
          <t>Activités Physiques Adaptées (APA)</t>
        </is>
      </c>
      <c r="C244" s="4" t="inlineStr">
        <is>
          <t>ENSEPS</t>
        </is>
      </c>
      <c r="D244" s="4" t="inlineStr">
        <is>
          <t>Licence</t>
        </is>
      </c>
      <c r="E244" s="4" t="inlineStr">
        <is>
          <t>L1</t>
        </is>
      </c>
      <c r="F244" s="4" t="inlineStr">
        <is>
          <t>Semestre 1</t>
        </is>
      </c>
      <c r="G244" s="4" t="inlineStr">
        <is>
          <t>Sciences de la vie et de la santé</t>
        </is>
      </c>
      <c r="H244" s="4" t="inlineStr">
        <is>
          <t>ECUE 1 : Anatomie descriptive du squelette appendiculaire ; ECUE 2 : Anatomie fonctionnelle du corps humain</t>
        </is>
      </c>
      <c r="I244" s="16" t="n">
        <v>2</v>
      </c>
      <c r="J244" s="16" t="n">
        <v>6</v>
      </c>
      <c r="K244" s="4" t="inlineStr">
        <is>
          <t>Sciences biomédicales</t>
        </is>
      </c>
      <c r="L244" s="4" t="inlineStr">
        <is>
          <t>APA|Semestre 1|Sciences de la vie et de la santé</t>
        </is>
      </c>
    </row>
    <row r="245">
      <c r="A245" s="18" t="inlineStr">
        <is>
          <t>APA</t>
        </is>
      </c>
      <c r="B245" s="18" t="inlineStr">
        <is>
          <t>Activités Physiques Adaptées (APA)</t>
        </is>
      </c>
      <c r="C245" s="18" t="inlineStr">
        <is>
          <t>ENSEPS</t>
        </is>
      </c>
      <c r="D245" s="18" t="inlineStr">
        <is>
          <t>Licence</t>
        </is>
      </c>
      <c r="E245" s="18" t="inlineStr">
        <is>
          <t>L1</t>
        </is>
      </c>
      <c r="F245" s="18" t="inlineStr">
        <is>
          <t>Semestre 1</t>
        </is>
      </c>
      <c r="G245" s="18" t="inlineStr">
        <is>
          <t>Sciences humaines et sociales</t>
        </is>
      </c>
      <c r="H245" s="18" t="inlineStr">
        <is>
          <t>ECUE 1 : Introduction à la psychologie générale ; ECUE 2 : Psychologie de l'apprentissage et du développement</t>
        </is>
      </c>
      <c r="I245" s="17" t="n">
        <v>2</v>
      </c>
      <c r="J245" s="17" t="n">
        <v>4</v>
      </c>
      <c r="K245" s="18" t="inlineStr">
        <is>
          <t>Sciences humaines &amp; sociales</t>
        </is>
      </c>
      <c r="L245" s="18" t="inlineStr">
        <is>
          <t>APA|Semestre 1|Sciences humaines et sociales</t>
        </is>
      </c>
    </row>
    <row r="246">
      <c r="A246" s="4" t="inlineStr">
        <is>
          <t>APA</t>
        </is>
      </c>
      <c r="B246" s="4" t="inlineStr">
        <is>
          <t>Activités Physiques Adaptées (APA)</t>
        </is>
      </c>
      <c r="C246" s="4" t="inlineStr">
        <is>
          <t>ENSEPS</t>
        </is>
      </c>
      <c r="D246" s="4" t="inlineStr">
        <is>
          <t>Licence</t>
        </is>
      </c>
      <c r="E246" s="4" t="inlineStr">
        <is>
          <t>L1</t>
        </is>
      </c>
      <c r="F246" s="4" t="inlineStr">
        <is>
          <t>Semestre 1</t>
        </is>
      </c>
      <c r="G246" s="4" t="inlineStr">
        <is>
          <t>Sciences de l'intervention</t>
        </is>
      </c>
      <c r="H246" s="4" t="inlineStr">
        <is>
          <t>Concepts de base en intervention des APS</t>
        </is>
      </c>
      <c r="I246" s="16" t="n">
        <v>1</v>
      </c>
      <c r="J246" s="16" t="n">
        <v>2</v>
      </c>
      <c r="K246" s="4" t="inlineStr">
        <is>
          <t>EPS / didactique-pédagogie</t>
        </is>
      </c>
      <c r="L246" s="4" t="inlineStr">
        <is>
          <t>APA|Semestre 1|Sciences de l'intervention</t>
        </is>
      </c>
    </row>
    <row r="247">
      <c r="A247" s="18" t="inlineStr">
        <is>
          <t>APA</t>
        </is>
      </c>
      <c r="B247" s="18" t="inlineStr">
        <is>
          <t>Activités Physiques Adaptées (APA)</t>
        </is>
      </c>
      <c r="C247" s="18" t="inlineStr">
        <is>
          <t>ENSEPS</t>
        </is>
      </c>
      <c r="D247" s="18" t="inlineStr">
        <is>
          <t>Licence</t>
        </is>
      </c>
      <c r="E247" s="18" t="inlineStr">
        <is>
          <t>L1</t>
        </is>
      </c>
      <c r="F247" s="18" t="inlineStr">
        <is>
          <t>Semestre 1</t>
        </is>
      </c>
      <c r="G247" s="18" t="inlineStr">
        <is>
          <t>Initiation aux fondamentaux du football</t>
        </is>
      </c>
      <c r="H247" s="18" t="inlineStr">
        <is>
          <t>Football : Fondamentaux</t>
        </is>
      </c>
      <c r="I247" s="17" t="n">
        <v>1</v>
      </c>
      <c r="J247" s="17" t="n">
        <v>3</v>
      </c>
      <c r="K247" s="18" t="inlineStr">
        <is>
          <t>Pratiques sportives (APS)</t>
        </is>
      </c>
      <c r="L247" s="18" t="inlineStr">
        <is>
          <t>APA|Semestre 1|Initiation aux fondamentaux du football</t>
        </is>
      </c>
    </row>
    <row r="248">
      <c r="A248" s="4" t="inlineStr">
        <is>
          <t>APA</t>
        </is>
      </c>
      <c r="B248" s="4" t="inlineStr">
        <is>
          <t>Activités Physiques Adaptées (APA)</t>
        </is>
      </c>
      <c r="C248" s="4" t="inlineStr">
        <is>
          <t>ENSEPS</t>
        </is>
      </c>
      <c r="D248" s="4" t="inlineStr">
        <is>
          <t>Licence</t>
        </is>
      </c>
      <c r="E248" s="4" t="inlineStr">
        <is>
          <t>L1</t>
        </is>
      </c>
      <c r="F248" s="4" t="inlineStr">
        <is>
          <t>Semestre 1</t>
        </is>
      </c>
      <c r="G248" s="4" t="inlineStr">
        <is>
          <t>Initiation aux fondamentaux du handball</t>
        </is>
      </c>
      <c r="H248" s="4" t="inlineStr">
        <is>
          <t>Handball : Fondamentaux</t>
        </is>
      </c>
      <c r="I248" s="16" t="n">
        <v>1</v>
      </c>
      <c r="J248" s="16" t="n">
        <v>3</v>
      </c>
      <c r="K248" s="4" t="inlineStr">
        <is>
          <t>Pratiques sportives (APS)</t>
        </is>
      </c>
      <c r="L248" s="4" t="inlineStr">
        <is>
          <t>APA|Semestre 1|Initiation aux fondamentaux du handball</t>
        </is>
      </c>
    </row>
    <row r="249">
      <c r="A249" s="18" t="inlineStr">
        <is>
          <t>APA</t>
        </is>
      </c>
      <c r="B249" s="18" t="inlineStr">
        <is>
          <t>Activités Physiques Adaptées (APA)</t>
        </is>
      </c>
      <c r="C249" s="18" t="inlineStr">
        <is>
          <t>ENSEPS</t>
        </is>
      </c>
      <c r="D249" s="18" t="inlineStr">
        <is>
          <t>Licence</t>
        </is>
      </c>
      <c r="E249" s="18" t="inlineStr">
        <is>
          <t>L1</t>
        </is>
      </c>
      <c r="F249" s="18" t="inlineStr">
        <is>
          <t>Semestre 1</t>
        </is>
      </c>
      <c r="G249" s="18" t="inlineStr">
        <is>
          <t>Initiation aux fondamentaux de la gymnastique</t>
        </is>
      </c>
      <c r="H249" s="18" t="inlineStr">
        <is>
          <t>Gymnastique : Fondamentaux</t>
        </is>
      </c>
      <c r="I249" s="17" t="n">
        <v>1</v>
      </c>
      <c r="J249" s="17" t="n">
        <v>2</v>
      </c>
      <c r="K249" s="18" t="inlineStr">
        <is>
          <t>Pratiques sportives (APS)</t>
        </is>
      </c>
      <c r="L249" s="18" t="inlineStr">
        <is>
          <t>APA|Semestre 1|Initiation aux fondamentaux de la gymnastique</t>
        </is>
      </c>
    </row>
    <row r="250">
      <c r="A250" s="4" t="inlineStr">
        <is>
          <t>APA</t>
        </is>
      </c>
      <c r="B250" s="4" t="inlineStr">
        <is>
          <t>Activités Physiques Adaptées (APA)</t>
        </is>
      </c>
      <c r="C250" s="4" t="inlineStr">
        <is>
          <t>ENSEPS</t>
        </is>
      </c>
      <c r="D250" s="4" t="inlineStr">
        <is>
          <t>Licence</t>
        </is>
      </c>
      <c r="E250" s="4" t="inlineStr">
        <is>
          <t>L1</t>
        </is>
      </c>
      <c r="F250" s="4" t="inlineStr">
        <is>
          <t>Semestre 1</t>
        </is>
      </c>
      <c r="G250" s="4" t="inlineStr">
        <is>
          <t>Initiation aux fondamentaux de l'athlétisme</t>
        </is>
      </c>
      <c r="H250" s="4" t="inlineStr">
        <is>
          <t>Fondamentaux des courses et des sauts</t>
        </is>
      </c>
      <c r="I250" s="16" t="n">
        <v>1</v>
      </c>
      <c r="J250" s="16" t="n">
        <v>3</v>
      </c>
      <c r="K250" s="4" t="inlineStr">
        <is>
          <t>Pratiques sportives (APS)</t>
        </is>
      </c>
      <c r="L250" s="4" t="inlineStr">
        <is>
          <t>APA|Semestre 1|Initiation aux fondamentaux de l'athlétisme</t>
        </is>
      </c>
    </row>
    <row r="251">
      <c r="A251" s="18" t="inlineStr">
        <is>
          <t>APA</t>
        </is>
      </c>
      <c r="B251" s="18" t="inlineStr">
        <is>
          <t>Activités Physiques Adaptées (APA)</t>
        </is>
      </c>
      <c r="C251" s="18" t="inlineStr">
        <is>
          <t>ENSEPS</t>
        </is>
      </c>
      <c r="D251" s="18" t="inlineStr">
        <is>
          <t>Licence</t>
        </is>
      </c>
      <c r="E251" s="18" t="inlineStr">
        <is>
          <t>L1</t>
        </is>
      </c>
      <c r="F251" s="18" t="inlineStr">
        <is>
          <t>Semestre 1</t>
        </is>
      </c>
      <c r="G251" s="18" t="inlineStr">
        <is>
          <t>Spécialisation théorique et pratique dans une APS</t>
        </is>
      </c>
      <c r="H251" s="18" t="inlineStr">
        <is>
          <t>APS de spécialité (choix d'un sport de spécialité)</t>
        </is>
      </c>
      <c r="I251" s="17" t="n">
        <v>1</v>
      </c>
      <c r="J251" s="17" t="n">
        <v>3</v>
      </c>
      <c r="K251" s="18" t="inlineStr">
        <is>
          <t>Pratiques sportives (APS)</t>
        </is>
      </c>
      <c r="L251" s="18" t="inlineStr">
        <is>
          <t>APA|Semestre 1|Spécialisation théorique et pratique dans une APS</t>
        </is>
      </c>
    </row>
    <row r="252">
      <c r="A252" s="4" t="inlineStr">
        <is>
          <t>APA</t>
        </is>
      </c>
      <c r="B252" s="4" t="inlineStr">
        <is>
          <t>Activités Physiques Adaptées (APA)</t>
        </is>
      </c>
      <c r="C252" s="4" t="inlineStr">
        <is>
          <t>ENSEPS</t>
        </is>
      </c>
      <c r="D252" s="4" t="inlineStr">
        <is>
          <t>Licence</t>
        </is>
      </c>
      <c r="E252" s="4" t="inlineStr">
        <is>
          <t>L1</t>
        </is>
      </c>
      <c r="F252" s="4" t="inlineStr">
        <is>
          <t>Semestre 1</t>
        </is>
      </c>
      <c r="G252" s="4" t="inlineStr">
        <is>
          <t>Techniques de communication écrite et orale</t>
        </is>
      </c>
      <c r="H252" s="4" t="inlineStr">
        <is>
          <t>ECUE 1 : Étude des styles de rédaction en langue française ; ECUE 2 : Anglais : vocabulaire du sport</t>
        </is>
      </c>
      <c r="I252" s="16" t="n">
        <v>2</v>
      </c>
      <c r="J252" s="16" t="n">
        <v>4</v>
      </c>
      <c r="K252" s="4" t="inlineStr">
        <is>
          <t>Langues &amp; communication</t>
        </is>
      </c>
      <c r="L252" s="4" t="inlineStr">
        <is>
          <t>APA|Semestre 1|Techniques de communication écrite et orale</t>
        </is>
      </c>
    </row>
    <row r="253">
      <c r="A253" s="18" t="inlineStr">
        <is>
          <t>APA</t>
        </is>
      </c>
      <c r="B253" s="18" t="inlineStr">
        <is>
          <t>Activités Physiques Adaptées (APA)</t>
        </is>
      </c>
      <c r="C253" s="18" t="inlineStr">
        <is>
          <t>ENSEPS</t>
        </is>
      </c>
      <c r="D253" s="18" t="inlineStr">
        <is>
          <t>Licence</t>
        </is>
      </c>
      <c r="E253" s="18" t="inlineStr">
        <is>
          <t>L1</t>
        </is>
      </c>
      <c r="F253" s="18" t="inlineStr">
        <is>
          <t>Semestre 2</t>
        </is>
      </c>
      <c r="G253" s="18" t="inlineStr">
        <is>
          <t>Sciences de la vie et de la santé</t>
        </is>
      </c>
      <c r="H253" s="18" t="inlineStr">
        <is>
          <t>ECUE 1 : Physiologie neuromusculaire, métabolisme et APS ; ECUE 2 : Physiologie des grandes fonctions</t>
        </is>
      </c>
      <c r="I253" s="17" t="n">
        <v>2</v>
      </c>
      <c r="J253" s="17" t="n">
        <v>6</v>
      </c>
      <c r="K253" s="18" t="inlineStr">
        <is>
          <t>Sciences biomédicales</t>
        </is>
      </c>
      <c r="L253" s="18" t="inlineStr">
        <is>
          <t>APA|Semestre 2|Sciences de la vie et de la santé</t>
        </is>
      </c>
    </row>
    <row r="254">
      <c r="A254" s="4" t="inlineStr">
        <is>
          <t>APA</t>
        </is>
      </c>
      <c r="B254" s="4" t="inlineStr">
        <is>
          <t>Activités Physiques Adaptées (APA)</t>
        </is>
      </c>
      <c r="C254" s="4" t="inlineStr">
        <is>
          <t>ENSEPS</t>
        </is>
      </c>
      <c r="D254" s="4" t="inlineStr">
        <is>
          <t>Licence</t>
        </is>
      </c>
      <c r="E254" s="4" t="inlineStr">
        <is>
          <t>L1</t>
        </is>
      </c>
      <c r="F254" s="4" t="inlineStr">
        <is>
          <t>Semestre 2</t>
        </is>
      </c>
      <c r="G254" s="4" t="inlineStr">
        <is>
          <t>Sciences humaines et sociales 1</t>
        </is>
      </c>
      <c r="H254" s="4" t="inlineStr">
        <is>
          <t>ECUE 1 : Introduction à la sociologie ; ECUE 2 : Sociologie du jeu et des APS</t>
        </is>
      </c>
      <c r="I254" s="16" t="n">
        <v>2</v>
      </c>
      <c r="J254" s="16" t="n">
        <v>4</v>
      </c>
      <c r="K254" s="4" t="inlineStr">
        <is>
          <t>Sciences humaines &amp; sociales</t>
        </is>
      </c>
      <c r="L254" s="4" t="inlineStr">
        <is>
          <t>APA|Semestre 2|Sciences humaines et sociales 1</t>
        </is>
      </c>
    </row>
    <row r="255">
      <c r="A255" s="18" t="inlineStr">
        <is>
          <t>APA</t>
        </is>
      </c>
      <c r="B255" s="18" t="inlineStr">
        <is>
          <t>Activités Physiques Adaptées (APA)</t>
        </is>
      </c>
      <c r="C255" s="18" t="inlineStr">
        <is>
          <t>ENSEPS</t>
        </is>
      </c>
      <c r="D255" s="18" t="inlineStr">
        <is>
          <t>Licence</t>
        </is>
      </c>
      <c r="E255" s="18" t="inlineStr">
        <is>
          <t>L1</t>
        </is>
      </c>
      <c r="F255" s="18" t="inlineStr">
        <is>
          <t>Semestre 2</t>
        </is>
      </c>
      <c r="G255" s="18" t="inlineStr">
        <is>
          <t>Initiation aux fondamentaux du rugby</t>
        </is>
      </c>
      <c r="H255" s="18" t="inlineStr">
        <is>
          <t>Rugby : Fondamentaux</t>
        </is>
      </c>
      <c r="I255" s="17" t="n">
        <v>1</v>
      </c>
      <c r="J255" s="17" t="n">
        <v>3</v>
      </c>
      <c r="K255" s="18" t="inlineStr">
        <is>
          <t>Pratiques sportives (APS)</t>
        </is>
      </c>
      <c r="L255" s="18" t="inlineStr">
        <is>
          <t>APA|Semestre 2|Initiation aux fondamentaux du rugby</t>
        </is>
      </c>
    </row>
    <row r="256">
      <c r="A256" s="4" t="inlineStr">
        <is>
          <t>APA</t>
        </is>
      </c>
      <c r="B256" s="4" t="inlineStr">
        <is>
          <t>Activités Physiques Adaptées (APA)</t>
        </is>
      </c>
      <c r="C256" s="4" t="inlineStr">
        <is>
          <t>ENSEPS</t>
        </is>
      </c>
      <c r="D256" s="4" t="inlineStr">
        <is>
          <t>Licence</t>
        </is>
      </c>
      <c r="E256" s="4" t="inlineStr">
        <is>
          <t>L1</t>
        </is>
      </c>
      <c r="F256" s="4" t="inlineStr">
        <is>
          <t>Semestre 2</t>
        </is>
      </c>
      <c r="G256" s="4" t="inlineStr">
        <is>
          <t>Initiation aux fondamentaux du basketball</t>
        </is>
      </c>
      <c r="H256" s="4" t="inlineStr">
        <is>
          <t>Basketball : Fondamentaux</t>
        </is>
      </c>
      <c r="I256" s="16" t="n">
        <v>1</v>
      </c>
      <c r="J256" s="16" t="n">
        <v>3</v>
      </c>
      <c r="K256" s="4" t="inlineStr">
        <is>
          <t>Pratiques sportives (APS)</t>
        </is>
      </c>
      <c r="L256" s="4" t="inlineStr">
        <is>
          <t>APA|Semestre 2|Initiation aux fondamentaux du basketball</t>
        </is>
      </c>
    </row>
    <row r="257">
      <c r="A257" s="18" t="inlineStr">
        <is>
          <t>APA</t>
        </is>
      </c>
      <c r="B257" s="18" t="inlineStr">
        <is>
          <t>Activités Physiques Adaptées (APA)</t>
        </is>
      </c>
      <c r="C257" s="18" t="inlineStr">
        <is>
          <t>ENSEPS</t>
        </is>
      </c>
      <c r="D257" s="18" t="inlineStr">
        <is>
          <t>Licence</t>
        </is>
      </c>
      <c r="E257" s="18" t="inlineStr">
        <is>
          <t>L1</t>
        </is>
      </c>
      <c r="F257" s="18" t="inlineStr">
        <is>
          <t>Semestre 2</t>
        </is>
      </c>
      <c r="G257" s="18" t="inlineStr">
        <is>
          <t>Initiation aux fondamentaux de la gymnastique II</t>
        </is>
      </c>
      <c r="H257" s="18" t="inlineStr">
        <is>
          <t>Gymnastique 2 : fondamentaux</t>
        </is>
      </c>
      <c r="I257" s="17" t="n">
        <v>1</v>
      </c>
      <c r="J257" s="17" t="n">
        <v>3</v>
      </c>
      <c r="K257" s="18" t="inlineStr">
        <is>
          <t>Pratiques sportives (APS)</t>
        </is>
      </c>
      <c r="L257" s="18" t="inlineStr">
        <is>
          <t>APA|Semestre 2|Initiation aux fondamentaux de la gymnastique II</t>
        </is>
      </c>
    </row>
    <row r="258">
      <c r="A258" s="4" t="inlineStr">
        <is>
          <t>APA</t>
        </is>
      </c>
      <c r="B258" s="4" t="inlineStr">
        <is>
          <t>Activités Physiques Adaptées (APA)</t>
        </is>
      </c>
      <c r="C258" s="4" t="inlineStr">
        <is>
          <t>ENSEPS</t>
        </is>
      </c>
      <c r="D258" s="4" t="inlineStr">
        <is>
          <t>Licence</t>
        </is>
      </c>
      <c r="E258" s="4" t="inlineStr">
        <is>
          <t>L1</t>
        </is>
      </c>
      <c r="F258" s="4" t="inlineStr">
        <is>
          <t>Semestre 2</t>
        </is>
      </c>
      <c r="G258" s="4" t="inlineStr">
        <is>
          <t>Initiation aux fondamentaux de l'athlétisme II</t>
        </is>
      </c>
      <c r="H258" s="4" t="inlineStr">
        <is>
          <t>Fondamentaux des courses de vitesse et des lancers</t>
        </is>
      </c>
      <c r="I258" s="16" t="n">
        <v>1</v>
      </c>
      <c r="J258" s="16" t="n">
        <v>3</v>
      </c>
      <c r="K258" s="4" t="inlineStr">
        <is>
          <t>Pratiques sportives (APS)</t>
        </is>
      </c>
      <c r="L258" s="4" t="inlineStr">
        <is>
          <t>APA|Semestre 2|Initiation aux fondamentaux de l'athlétisme II</t>
        </is>
      </c>
    </row>
    <row r="259">
      <c r="A259" s="18" t="inlineStr">
        <is>
          <t>APA</t>
        </is>
      </c>
      <c r="B259" s="18" t="inlineStr">
        <is>
          <t>Activités Physiques Adaptées (APA)</t>
        </is>
      </c>
      <c r="C259" s="18" t="inlineStr">
        <is>
          <t>ENSEPS</t>
        </is>
      </c>
      <c r="D259" s="18" t="inlineStr">
        <is>
          <t>Licence</t>
        </is>
      </c>
      <c r="E259" s="18" t="inlineStr">
        <is>
          <t>L1</t>
        </is>
      </c>
      <c r="F259" s="18" t="inlineStr">
        <is>
          <t>Semestre 2</t>
        </is>
      </c>
      <c r="G259" s="18" t="inlineStr">
        <is>
          <t>Spécialisation théorique et pratique dans une APS</t>
        </is>
      </c>
      <c r="H259" s="18" t="inlineStr">
        <is>
          <t>APS de spécialité (choix d'un sport de spécialité)</t>
        </is>
      </c>
      <c r="I259" s="17" t="n">
        <v>1</v>
      </c>
      <c r="J259" s="17" t="n">
        <v>3</v>
      </c>
      <c r="K259" s="18" t="inlineStr">
        <is>
          <t>Pratiques sportives (APS)</t>
        </is>
      </c>
      <c r="L259" s="18" t="inlineStr">
        <is>
          <t>APA|Semestre 2|Spécialisation théorique et pratique dans une APS</t>
        </is>
      </c>
    </row>
    <row r="260">
      <c r="A260" s="4" t="inlineStr">
        <is>
          <t>APA</t>
        </is>
      </c>
      <c r="B260" s="4" t="inlineStr">
        <is>
          <t>Activités Physiques Adaptées (APA)</t>
        </is>
      </c>
      <c r="C260" s="4" t="inlineStr">
        <is>
          <t>ENSEPS</t>
        </is>
      </c>
      <c r="D260" s="4" t="inlineStr">
        <is>
          <t>Licence</t>
        </is>
      </c>
      <c r="E260" s="4" t="inlineStr">
        <is>
          <t>L1</t>
        </is>
      </c>
      <c r="F260" s="4" t="inlineStr">
        <is>
          <t>Semestre 2</t>
        </is>
      </c>
      <c r="G260" s="4" t="inlineStr">
        <is>
          <t>Initiation à l'environnement des TIC</t>
        </is>
      </c>
      <c r="H260" s="4" t="inlineStr">
        <is>
          <t>Formation à Microsoft Office Word</t>
        </is>
      </c>
      <c r="I260" s="16" t="n">
        <v>1</v>
      </c>
      <c r="J260" s="16" t="n">
        <v>1</v>
      </c>
      <c r="K260" s="4" t="inlineStr">
        <is>
          <t>TIC / bureautique</t>
        </is>
      </c>
      <c r="L260" s="4" t="inlineStr">
        <is>
          <t>APA|Semestre 2|Initiation à l'environnement des TIC</t>
        </is>
      </c>
    </row>
    <row r="261">
      <c r="A261" s="18" t="inlineStr">
        <is>
          <t>APA</t>
        </is>
      </c>
      <c r="B261" s="18" t="inlineStr">
        <is>
          <t>Activités Physiques Adaptées (APA)</t>
        </is>
      </c>
      <c r="C261" s="18" t="inlineStr">
        <is>
          <t>ENSEPS</t>
        </is>
      </c>
      <c r="D261" s="18" t="inlineStr">
        <is>
          <t>Licence</t>
        </is>
      </c>
      <c r="E261" s="18" t="inlineStr">
        <is>
          <t>L1</t>
        </is>
      </c>
      <c r="F261" s="18" t="inlineStr">
        <is>
          <t>Semestre 2</t>
        </is>
      </c>
      <c r="G261" s="18" t="inlineStr">
        <is>
          <t>Techniques de communication écrite et orale</t>
        </is>
      </c>
      <c r="H261" s="18" t="inlineStr">
        <is>
          <t>ECUE 1 : Anglais : communication orale (People and places) ; ECUE 2 : Français : expression orale et prise de parole en public</t>
        </is>
      </c>
      <c r="I261" s="17" t="n">
        <v>2</v>
      </c>
      <c r="J261" s="17" t="n">
        <v>4</v>
      </c>
      <c r="K261" s="18" t="inlineStr">
        <is>
          <t>Langues &amp; communication</t>
        </is>
      </c>
      <c r="L261" s="18" t="inlineStr">
        <is>
          <t>APA|Semestre 2|Techniques de communication écrite et orale</t>
        </is>
      </c>
    </row>
    <row r="262">
      <c r="A262" s="4" t="inlineStr">
        <is>
          <t>APA</t>
        </is>
      </c>
      <c r="B262" s="4" t="inlineStr">
        <is>
          <t>Activités Physiques Adaptées (APA)</t>
        </is>
      </c>
      <c r="C262" s="4" t="inlineStr">
        <is>
          <t>ENSEPS</t>
        </is>
      </c>
      <c r="D262" s="4" t="inlineStr">
        <is>
          <t>Licence</t>
        </is>
      </c>
      <c r="E262" s="4" t="inlineStr">
        <is>
          <t>L2</t>
        </is>
      </c>
      <c r="F262" s="4" t="inlineStr">
        <is>
          <t>Semestre 3</t>
        </is>
      </c>
      <c r="G262" s="4" t="inlineStr">
        <is>
          <t>Sciences de la vie et de la santé</t>
        </is>
      </c>
      <c r="H262" s="4" t="inlineStr">
        <is>
          <t>ECUE 1 : Nutrition et APS ; ECUE 2 : Biomécanique du geste</t>
        </is>
      </c>
      <c r="I262" s="16" t="n">
        <v>2</v>
      </c>
      <c r="J262" s="16" t="n">
        <v>4</v>
      </c>
      <c r="K262" s="4" t="inlineStr">
        <is>
          <t>Sciences biomédicales</t>
        </is>
      </c>
      <c r="L262" s="4" t="inlineStr">
        <is>
          <t>APA|Semestre 3|Sciences de la vie et de la santé</t>
        </is>
      </c>
    </row>
    <row r="263">
      <c r="A263" s="18" t="inlineStr">
        <is>
          <t>APA</t>
        </is>
      </c>
      <c r="B263" s="18" t="inlineStr">
        <is>
          <t>Activités Physiques Adaptées (APA)</t>
        </is>
      </c>
      <c r="C263" s="18" t="inlineStr">
        <is>
          <t>ENSEPS</t>
        </is>
      </c>
      <c r="D263" s="18" t="inlineStr">
        <is>
          <t>Licence</t>
        </is>
      </c>
      <c r="E263" s="18" t="inlineStr">
        <is>
          <t>L2</t>
        </is>
      </c>
      <c r="F263" s="18" t="inlineStr">
        <is>
          <t>Semestre 3</t>
        </is>
      </c>
      <c r="G263" s="18" t="inlineStr">
        <is>
          <t>Sciences humaines et sociales appliquées aux APS</t>
        </is>
      </c>
      <c r="H263" s="18" t="inlineStr">
        <is>
          <t>Histoire du sport : naissance et développement du sport moderne</t>
        </is>
      </c>
      <c r="I263" s="17" t="n">
        <v>1</v>
      </c>
      <c r="J263" s="17" t="n">
        <v>2</v>
      </c>
      <c r="K263" s="18" t="inlineStr">
        <is>
          <t>Sciences humaines &amp; sociales</t>
        </is>
      </c>
      <c r="L263" s="18" t="inlineStr">
        <is>
          <t>APA|Semestre 3|Sciences humaines et sociales appliquées aux APS</t>
        </is>
      </c>
    </row>
    <row r="264">
      <c r="A264" s="4" t="inlineStr">
        <is>
          <t>APA</t>
        </is>
      </c>
      <c r="B264" s="4" t="inlineStr">
        <is>
          <t>Activités Physiques Adaptées (APA)</t>
        </is>
      </c>
      <c r="C264" s="4" t="inlineStr">
        <is>
          <t>ENSEPS</t>
        </is>
      </c>
      <c r="D264" s="4" t="inlineStr">
        <is>
          <t>Licence</t>
        </is>
      </c>
      <c r="E264" s="4" t="inlineStr">
        <is>
          <t>L2</t>
        </is>
      </c>
      <c r="F264" s="4" t="inlineStr">
        <is>
          <t>Semestre 3</t>
        </is>
      </c>
      <c r="G264" s="4" t="inlineStr">
        <is>
          <t>Connaissances institutionnelles du sport</t>
        </is>
      </c>
      <c r="H264" s="4" t="inlineStr">
        <is>
          <t>Connaissances institutionnelles et législatives de l'organisation du sport</t>
        </is>
      </c>
      <c r="I264" s="16" t="n">
        <v>1</v>
      </c>
      <c r="J264" s="16" t="n">
        <v>2</v>
      </c>
      <c r="K264" s="4" t="inlineStr">
        <is>
          <t>Sciences humaines &amp; sociales</t>
        </is>
      </c>
      <c r="L264" s="4" t="inlineStr">
        <is>
          <t>APA|Semestre 3|Connaissances institutionnelles du sport</t>
        </is>
      </c>
    </row>
    <row r="265">
      <c r="A265" s="18" t="inlineStr">
        <is>
          <t>APA</t>
        </is>
      </c>
      <c r="B265" s="18" t="inlineStr">
        <is>
          <t>Activités Physiques Adaptées (APA)</t>
        </is>
      </c>
      <c r="C265" s="18" t="inlineStr">
        <is>
          <t>ENSEPS</t>
        </is>
      </c>
      <c r="D265" s="18" t="inlineStr">
        <is>
          <t>Licence</t>
        </is>
      </c>
      <c r="E265" s="18" t="inlineStr">
        <is>
          <t>L2</t>
        </is>
      </c>
      <c r="F265" s="18" t="inlineStr">
        <is>
          <t>Semestre 3</t>
        </is>
      </c>
      <c r="G265" s="18" t="inlineStr">
        <is>
          <t>Initiation aux fondamentaux du volleyball</t>
        </is>
      </c>
      <c r="H265" s="18" t="inlineStr">
        <is>
          <t>Volleyball : Fondamentaux</t>
        </is>
      </c>
      <c r="I265" s="17" t="n">
        <v>1</v>
      </c>
      <c r="J265" s="17" t="n">
        <v>3</v>
      </c>
      <c r="K265" s="18" t="inlineStr">
        <is>
          <t>Pratiques sportives (APS)</t>
        </is>
      </c>
      <c r="L265" s="18" t="inlineStr">
        <is>
          <t>APA|Semestre 3|Initiation aux fondamentaux du volleyball</t>
        </is>
      </c>
    </row>
    <row r="266">
      <c r="A266" s="4" t="inlineStr">
        <is>
          <t>APA</t>
        </is>
      </c>
      <c r="B266" s="4" t="inlineStr">
        <is>
          <t>Activités Physiques Adaptées (APA)</t>
        </is>
      </c>
      <c r="C266" s="4" t="inlineStr">
        <is>
          <t>ENSEPS</t>
        </is>
      </c>
      <c r="D266" s="4" t="inlineStr">
        <is>
          <t>Licence</t>
        </is>
      </c>
      <c r="E266" s="4" t="inlineStr">
        <is>
          <t>L2</t>
        </is>
      </c>
      <c r="F266" s="4" t="inlineStr">
        <is>
          <t>Semestre 3</t>
        </is>
      </c>
      <c r="G266" s="4" t="inlineStr">
        <is>
          <t>Initiation aux sports de combat de préhension</t>
        </is>
      </c>
      <c r="H266" s="4" t="inlineStr">
        <is>
          <t>Judo : Fondamentaux ; Lutte : Fondamentaux</t>
        </is>
      </c>
      <c r="I266" s="16" t="n">
        <v>1</v>
      </c>
      <c r="J266" s="16" t="n">
        <v>2</v>
      </c>
      <c r="K266" s="4" t="inlineStr">
        <is>
          <t>Pratiques sportives (APS)</t>
        </is>
      </c>
      <c r="L266" s="4" t="inlineStr">
        <is>
          <t>APA|Semestre 3|Initiation aux sports de combat de préhension</t>
        </is>
      </c>
    </row>
    <row r="267">
      <c r="A267" s="18" t="inlineStr">
        <is>
          <t>APA</t>
        </is>
      </c>
      <c r="B267" s="18" t="inlineStr">
        <is>
          <t>Activités Physiques Adaptées (APA)</t>
        </is>
      </c>
      <c r="C267" s="18" t="inlineStr">
        <is>
          <t>ENSEPS</t>
        </is>
      </c>
      <c r="D267" s="18" t="inlineStr">
        <is>
          <t>Licence</t>
        </is>
      </c>
      <c r="E267" s="18" t="inlineStr">
        <is>
          <t>L2</t>
        </is>
      </c>
      <c r="F267" s="18" t="inlineStr">
        <is>
          <t>Semestre 3</t>
        </is>
      </c>
      <c r="G267" s="18" t="inlineStr">
        <is>
          <t>Initiation aux sports de combat de percussion</t>
        </is>
      </c>
      <c r="H267" s="18" t="inlineStr">
        <is>
          <t>Boxe : Fondamentaux ; Taekwondo : Fondamentaux</t>
        </is>
      </c>
      <c r="I267" s="17" t="n">
        <v>1</v>
      </c>
      <c r="J267" s="17" t="n">
        <v>2</v>
      </c>
      <c r="K267" s="18" t="inlineStr">
        <is>
          <t>Pratiques sportives (APS)</t>
        </is>
      </c>
      <c r="L267" s="18" t="inlineStr">
        <is>
          <t>APA|Semestre 3|Initiation aux sports de combat de percussion</t>
        </is>
      </c>
    </row>
    <row r="268">
      <c r="A268" s="4" t="inlineStr">
        <is>
          <t>APA</t>
        </is>
      </c>
      <c r="B268" s="4" t="inlineStr">
        <is>
          <t>Activités Physiques Adaptées (APA)</t>
        </is>
      </c>
      <c r="C268" s="4" t="inlineStr">
        <is>
          <t>ENSEPS</t>
        </is>
      </c>
      <c r="D268" s="4" t="inlineStr">
        <is>
          <t>Licence</t>
        </is>
      </c>
      <c r="E268" s="4" t="inlineStr">
        <is>
          <t>L2</t>
        </is>
      </c>
      <c r="F268" s="4" t="inlineStr">
        <is>
          <t>Semestre 3</t>
        </is>
      </c>
      <c r="G268" s="4" t="inlineStr">
        <is>
          <t>Initiation aux sports d'entretien et santé</t>
        </is>
      </c>
      <c r="H268" s="4" t="inlineStr">
        <is>
          <t>Fitness et Conditionnement physique</t>
        </is>
      </c>
      <c r="I268" s="16" t="n">
        <v>1</v>
      </c>
      <c r="J268" s="16" t="n">
        <v>2</v>
      </c>
      <c r="K268" s="4" t="inlineStr">
        <is>
          <t>Pratiques sportives (APS)</t>
        </is>
      </c>
      <c r="L268" s="4" t="inlineStr">
        <is>
          <t>APA|Semestre 3|Initiation aux sports d'entretien et santé</t>
        </is>
      </c>
    </row>
    <row r="269">
      <c r="A269" s="18" t="inlineStr">
        <is>
          <t>APA</t>
        </is>
      </c>
      <c r="B269" s="18" t="inlineStr">
        <is>
          <t>Activités Physiques Adaptées (APA)</t>
        </is>
      </c>
      <c r="C269" s="18" t="inlineStr">
        <is>
          <t>ENSEPS</t>
        </is>
      </c>
      <c r="D269" s="18" t="inlineStr">
        <is>
          <t>Licence</t>
        </is>
      </c>
      <c r="E269" s="18" t="inlineStr">
        <is>
          <t>L2</t>
        </is>
      </c>
      <c r="F269" s="18" t="inlineStr">
        <is>
          <t>Semestre 3</t>
        </is>
      </c>
      <c r="G269" s="18" t="inlineStr">
        <is>
          <t>Matérialisation des plateaux de pratique des APS et performance</t>
        </is>
      </c>
      <c r="H269" s="18" t="inlineStr">
        <is>
          <t>Techniques de traçage des aires de pratique sportive et utilisation des instruments de mesure de la performance</t>
        </is>
      </c>
      <c r="I269" s="17" t="n">
        <v>1</v>
      </c>
      <c r="J269" s="17" t="n">
        <v>3</v>
      </c>
      <c r="K269" s="18" t="inlineStr">
        <is>
          <t>Pratiques sportives (APS)</t>
        </is>
      </c>
      <c r="L269" s="18" t="inlineStr">
        <is>
          <t>APA|Semestre 3|Matérialisation des plateaux de pratique des APS et performance</t>
        </is>
      </c>
    </row>
    <row r="270">
      <c r="A270" s="4" t="inlineStr">
        <is>
          <t>APA</t>
        </is>
      </c>
      <c r="B270" s="4" t="inlineStr">
        <is>
          <t>Activités Physiques Adaptées (APA)</t>
        </is>
      </c>
      <c r="C270" s="4" t="inlineStr">
        <is>
          <t>ENSEPS</t>
        </is>
      </c>
      <c r="D270" s="4" t="inlineStr">
        <is>
          <t>Licence</t>
        </is>
      </c>
      <c r="E270" s="4" t="inlineStr">
        <is>
          <t>L2</t>
        </is>
      </c>
      <c r="F270" s="4" t="inlineStr">
        <is>
          <t>Semestre 3</t>
        </is>
      </c>
      <c r="G270" s="4" t="inlineStr">
        <is>
          <t>Spécialisation théorique et pratique dans une APS</t>
        </is>
      </c>
      <c r="H270" s="4" t="inlineStr">
        <is>
          <t>APS de spécialité (choix d'un sport de spécialité)</t>
        </is>
      </c>
      <c r="I270" s="16" t="n">
        <v>1</v>
      </c>
      <c r="J270" s="16" t="n">
        <v>3</v>
      </c>
      <c r="K270" s="4" t="inlineStr">
        <is>
          <t>Pratiques sportives (APS)</t>
        </is>
      </c>
      <c r="L270" s="4" t="inlineStr">
        <is>
          <t>APA|Semestre 3|Spécialisation théorique et pratique dans une APS</t>
        </is>
      </c>
    </row>
    <row r="271">
      <c r="A271" s="18" t="inlineStr">
        <is>
          <t>APA</t>
        </is>
      </c>
      <c r="B271" s="18" t="inlineStr">
        <is>
          <t>Activités Physiques Adaptées (APA)</t>
        </is>
      </c>
      <c r="C271" s="18" t="inlineStr">
        <is>
          <t>ENSEPS</t>
        </is>
      </c>
      <c r="D271" s="18" t="inlineStr">
        <is>
          <t>Licence</t>
        </is>
      </c>
      <c r="E271" s="18" t="inlineStr">
        <is>
          <t>L2</t>
        </is>
      </c>
      <c r="F271" s="18" t="inlineStr">
        <is>
          <t>Semestre 3</t>
        </is>
      </c>
      <c r="G271" s="18" t="inlineStr">
        <is>
          <t>Pré-professionnalisation</t>
        </is>
      </c>
      <c r="H271" s="18" t="inlineStr">
        <is>
          <t>Stage pédagogique au primaire : animation sportive 1re étape</t>
        </is>
      </c>
      <c r="I271" s="17" t="n">
        <v>1</v>
      </c>
      <c r="J271" s="17" t="n">
        <v>3</v>
      </c>
      <c r="K271" s="18" t="inlineStr">
        <is>
          <t>Professionnalisation / stages</t>
        </is>
      </c>
      <c r="L271" s="18" t="inlineStr">
        <is>
          <t>APA|Semestre 3|Pré-professionnalisation</t>
        </is>
      </c>
    </row>
    <row r="272">
      <c r="A272" s="4" t="inlineStr">
        <is>
          <t>APA</t>
        </is>
      </c>
      <c r="B272" s="4" t="inlineStr">
        <is>
          <t>Activités Physiques Adaptées (APA)</t>
        </is>
      </c>
      <c r="C272" s="4" t="inlineStr">
        <is>
          <t>ENSEPS</t>
        </is>
      </c>
      <c r="D272" s="4" t="inlineStr">
        <is>
          <t>Licence</t>
        </is>
      </c>
      <c r="E272" s="4" t="inlineStr">
        <is>
          <t>L2</t>
        </is>
      </c>
      <c r="F272" s="4" t="inlineStr">
        <is>
          <t>Semestre 3</t>
        </is>
      </c>
      <c r="G272" s="4" t="inlineStr">
        <is>
          <t>Techniques d'expression écrite et orale</t>
        </is>
      </c>
      <c r="H272" s="4" t="inlineStr">
        <is>
          <t>ECUE 1 : Anglais : communication orale (People and places : sport) ; ECUE 2 : Français : expression orale et prise de parole en public</t>
        </is>
      </c>
      <c r="I272" s="16" t="n">
        <v>2</v>
      </c>
      <c r="J272" s="16" t="n">
        <v>4</v>
      </c>
      <c r="K272" s="4" t="inlineStr">
        <is>
          <t>Langues &amp; communication</t>
        </is>
      </c>
      <c r="L272" s="4" t="inlineStr">
        <is>
          <t>APA|Semestre 3|Techniques d'expression écrite et orale</t>
        </is>
      </c>
    </row>
    <row r="273">
      <c r="A273" s="18" t="inlineStr">
        <is>
          <t>APA</t>
        </is>
      </c>
      <c r="B273" s="18" t="inlineStr">
        <is>
          <t>Activités Physiques Adaptées (APA)</t>
        </is>
      </c>
      <c r="C273" s="18" t="inlineStr">
        <is>
          <t>ENSEPS</t>
        </is>
      </c>
      <c r="D273" s="18" t="inlineStr">
        <is>
          <t>Licence</t>
        </is>
      </c>
      <c r="E273" s="18" t="inlineStr">
        <is>
          <t>L2</t>
        </is>
      </c>
      <c r="F273" s="18" t="inlineStr">
        <is>
          <t>Semestre 4</t>
        </is>
      </c>
      <c r="G273" s="18" t="inlineStr">
        <is>
          <t>Connaissances historiques, sociologiques et institutionnelles du handicap</t>
        </is>
      </c>
      <c r="H273" s="18" t="inlineStr">
        <is>
          <t>ECUE 1 : Histoire et sociologie du handicap ; ECUE 2 : Santé publique et populations spécifiques (handicapés, personnes âgées)</t>
        </is>
      </c>
      <c r="I273" s="17" t="n">
        <v>2</v>
      </c>
      <c r="J273" s="17" t="n">
        <v>4</v>
      </c>
      <c r="K273" s="18" t="inlineStr">
        <is>
          <t>APA (activité physique adaptée)</t>
        </is>
      </c>
      <c r="L273" s="18" t="inlineStr">
        <is>
          <t>APA|Semestre 4|Connaissances historiques, sociologiques et institutionnelles du handicap</t>
        </is>
      </c>
    </row>
    <row r="274">
      <c r="A274" s="4" t="inlineStr">
        <is>
          <t>APA</t>
        </is>
      </c>
      <c r="B274" s="4" t="inlineStr">
        <is>
          <t>Activités Physiques Adaptées (APA)</t>
        </is>
      </c>
      <c r="C274" s="4" t="inlineStr">
        <is>
          <t>ENSEPS</t>
        </is>
      </c>
      <c r="D274" s="4" t="inlineStr">
        <is>
          <t>Licence</t>
        </is>
      </c>
      <c r="E274" s="4" t="inlineStr">
        <is>
          <t>L2</t>
        </is>
      </c>
      <c r="F274" s="4" t="inlineStr">
        <is>
          <t>Semestre 4</t>
        </is>
      </c>
      <c r="G274" s="4" t="inlineStr">
        <is>
          <t>Biologie des populations spéciales</t>
        </is>
      </c>
      <c r="H274" s="4" t="inlineStr">
        <is>
          <t>ECUE 1 : Biologie des populations spéciales ; ECUE 2 : Biologie du vieillissement</t>
        </is>
      </c>
      <c r="I274" s="16" t="n">
        <v>2</v>
      </c>
      <c r="J274" s="16" t="n">
        <v>4</v>
      </c>
      <c r="K274" s="4" t="inlineStr">
        <is>
          <t>APA (activité physique adaptée)</t>
        </is>
      </c>
      <c r="L274" s="4" t="inlineStr">
        <is>
          <t>APA|Semestre 4|Biologie des populations spéciales</t>
        </is>
      </c>
    </row>
    <row r="275">
      <c r="A275" s="18" t="inlineStr">
        <is>
          <t>APA</t>
        </is>
      </c>
      <c r="B275" s="18" t="inlineStr">
        <is>
          <t>Activités Physiques Adaptées (APA)</t>
        </is>
      </c>
      <c r="C275" s="18" t="inlineStr">
        <is>
          <t>ENSEPS</t>
        </is>
      </c>
      <c r="D275" s="18" t="inlineStr">
        <is>
          <t>Licence</t>
        </is>
      </c>
      <c r="E275" s="18" t="inlineStr">
        <is>
          <t>L2</t>
        </is>
      </c>
      <c r="F275" s="18" t="inlineStr">
        <is>
          <t>Semestre 4</t>
        </is>
      </c>
      <c r="G275" s="18" t="inlineStr">
        <is>
          <t>Rééducation fonctionnelle</t>
        </is>
      </c>
      <c r="H275" s="18" t="inlineStr">
        <is>
          <t>Pratique de la rééducation par les APA pour populations spécifiques 1</t>
        </is>
      </c>
      <c r="I275" s="17" t="n">
        <v>1</v>
      </c>
      <c r="J275" s="17" t="n">
        <v>2</v>
      </c>
      <c r="K275" s="18" t="inlineStr">
        <is>
          <t>APA (activité physique adaptée)</t>
        </is>
      </c>
      <c r="L275" s="18" t="inlineStr">
        <is>
          <t>APA|Semestre 4|Rééducation fonctionnelle</t>
        </is>
      </c>
    </row>
    <row r="276">
      <c r="A276" s="4" t="inlineStr">
        <is>
          <t>APA</t>
        </is>
      </c>
      <c r="B276" s="4" t="inlineStr">
        <is>
          <t>Activités Physiques Adaptées (APA)</t>
        </is>
      </c>
      <c r="C276" s="4" t="inlineStr">
        <is>
          <t>ENSEPS</t>
        </is>
      </c>
      <c r="D276" s="4" t="inlineStr">
        <is>
          <t>Licence</t>
        </is>
      </c>
      <c r="E276" s="4" t="inlineStr">
        <is>
          <t>L2</t>
        </is>
      </c>
      <c r="F276" s="4" t="inlineStr">
        <is>
          <t>Semestre 4</t>
        </is>
      </c>
      <c r="G276" s="4" t="inlineStr">
        <is>
          <t>Intervention en milieu spécial</t>
        </is>
      </c>
      <c r="H276" s="4" t="inlineStr">
        <is>
          <t>ECUE 1 : Pratique des activités physiques par les déficients visuels et auditifs ; ECUE 2 : Pratique du fitness</t>
        </is>
      </c>
      <c r="I276" s="16" t="n">
        <v>2</v>
      </c>
      <c r="J276" s="16" t="n">
        <v>5</v>
      </c>
      <c r="K276" s="4" t="inlineStr">
        <is>
          <t>EPS / didactique-pédagogie</t>
        </is>
      </c>
      <c r="L276" s="4" t="inlineStr">
        <is>
          <t>APA|Semestre 4|Intervention en milieu spécial</t>
        </is>
      </c>
    </row>
    <row r="277">
      <c r="A277" s="18" t="inlineStr">
        <is>
          <t>APA</t>
        </is>
      </c>
      <c r="B277" s="18" t="inlineStr">
        <is>
          <t>Activités Physiques Adaptées (APA)</t>
        </is>
      </c>
      <c r="C277" s="18" t="inlineStr">
        <is>
          <t>ENSEPS</t>
        </is>
      </c>
      <c r="D277" s="18" t="inlineStr">
        <is>
          <t>Licence</t>
        </is>
      </c>
      <c r="E277" s="18" t="inlineStr">
        <is>
          <t>L2</t>
        </is>
      </c>
      <c r="F277" s="18" t="inlineStr">
        <is>
          <t>Semestre 4</t>
        </is>
      </c>
      <c r="G277" s="18" t="inlineStr">
        <is>
          <t>Prise en charge du handicap</t>
        </is>
      </c>
      <c r="H277" s="18" t="inlineStr">
        <is>
          <t>ECUE 1 : Pratique des activités physiques par les déficients visuels et auditifs ; ECUE 2 : Pratique du fitness</t>
        </is>
      </c>
      <c r="I277" s="17" t="n">
        <v>2</v>
      </c>
      <c r="J277" s="17" t="n">
        <v>4</v>
      </c>
      <c r="K277" s="18" t="inlineStr">
        <is>
          <t>APA (activité physique adaptée)</t>
        </is>
      </c>
      <c r="L277" s="18" t="inlineStr">
        <is>
          <t>APA|Semestre 4|Prise en charge du handicap</t>
        </is>
      </c>
    </row>
    <row r="278">
      <c r="A278" s="4" t="inlineStr">
        <is>
          <t>APA</t>
        </is>
      </c>
      <c r="B278" s="4" t="inlineStr">
        <is>
          <t>Activités Physiques Adaptées (APA)</t>
        </is>
      </c>
      <c r="C278" s="4" t="inlineStr">
        <is>
          <t>ENSEPS</t>
        </is>
      </c>
      <c r="D278" s="4" t="inlineStr">
        <is>
          <t>Licence</t>
        </is>
      </c>
      <c r="E278" s="4" t="inlineStr">
        <is>
          <t>L2</t>
        </is>
      </c>
      <c r="F278" s="4" t="inlineStr">
        <is>
          <t>Semestre 4</t>
        </is>
      </c>
      <c r="G278" s="4" t="inlineStr">
        <is>
          <t>Spécialisation théorique et pratique dans une APS</t>
        </is>
      </c>
      <c r="H278" s="4" t="inlineStr">
        <is>
          <t>APS de spécialité</t>
        </is>
      </c>
      <c r="I278" s="16" t="n">
        <v>1</v>
      </c>
      <c r="J278" s="16" t="n">
        <v>2</v>
      </c>
      <c r="K278" s="4" t="inlineStr">
        <is>
          <t>Pratiques sportives (APS)</t>
        </is>
      </c>
      <c r="L278" s="4" t="inlineStr">
        <is>
          <t>APA|Semestre 4|Spécialisation théorique et pratique dans une APS</t>
        </is>
      </c>
    </row>
    <row r="279">
      <c r="A279" s="18" t="inlineStr">
        <is>
          <t>APA</t>
        </is>
      </c>
      <c r="B279" s="18" t="inlineStr">
        <is>
          <t>Activités Physiques Adaptées (APA)</t>
        </is>
      </c>
      <c r="C279" s="18" t="inlineStr">
        <is>
          <t>ENSEPS</t>
        </is>
      </c>
      <c r="D279" s="18" t="inlineStr">
        <is>
          <t>Licence</t>
        </is>
      </c>
      <c r="E279" s="18" t="inlineStr">
        <is>
          <t>L2</t>
        </is>
      </c>
      <c r="F279" s="18" t="inlineStr">
        <is>
          <t>Semestre 4</t>
        </is>
      </c>
      <c r="G279" s="18" t="inlineStr">
        <is>
          <t>Pré-professionnalisation</t>
        </is>
      </c>
      <c r="H279" s="18" t="inlineStr">
        <is>
          <t>Stage dans un établissement d'accueil spécialisé dans le traitement des handicaps</t>
        </is>
      </c>
      <c r="I279" s="17" t="n">
        <v>1</v>
      </c>
      <c r="J279" s="17" t="n">
        <v>3</v>
      </c>
      <c r="K279" s="18" t="inlineStr">
        <is>
          <t>Professionnalisation / stages</t>
        </is>
      </c>
      <c r="L279" s="18" t="inlineStr">
        <is>
          <t>APA|Semestre 4|Pré-professionnalisation</t>
        </is>
      </c>
    </row>
    <row r="280">
      <c r="A280" s="4" t="inlineStr">
        <is>
          <t>APA</t>
        </is>
      </c>
      <c r="B280" s="4" t="inlineStr">
        <is>
          <t>Activités Physiques Adaptées (APA)</t>
        </is>
      </c>
      <c r="C280" s="4" t="inlineStr">
        <is>
          <t>ENSEPS</t>
        </is>
      </c>
      <c r="D280" s="4" t="inlineStr">
        <is>
          <t>Licence</t>
        </is>
      </c>
      <c r="E280" s="4" t="inlineStr">
        <is>
          <t>L2</t>
        </is>
      </c>
      <c r="F280" s="4" t="inlineStr">
        <is>
          <t>Semestre 4</t>
        </is>
      </c>
      <c r="G280" s="4" t="inlineStr">
        <is>
          <t>Méthodologie de la recherche</t>
        </is>
      </c>
      <c r="H280" s="4" t="inlineStr">
        <is>
          <t>Introduction à la méthodologie de la recherche scientifique</t>
        </is>
      </c>
      <c r="I280" s="16" t="n">
        <v>1</v>
      </c>
      <c r="J280" s="16" t="n">
        <v>3</v>
      </c>
      <c r="K280" s="4" t="inlineStr">
        <is>
          <t>Recherche &amp; méthodologie</t>
        </is>
      </c>
      <c r="L280" s="4" t="inlineStr">
        <is>
          <t>APA|Semestre 4|Méthodologie de la recherche</t>
        </is>
      </c>
    </row>
    <row r="281">
      <c r="A281" s="18" t="inlineStr">
        <is>
          <t>APA</t>
        </is>
      </c>
      <c r="B281" s="18" t="inlineStr">
        <is>
          <t>Activités Physiques Adaptées (APA)</t>
        </is>
      </c>
      <c r="C281" s="18" t="inlineStr">
        <is>
          <t>ENSEPS</t>
        </is>
      </c>
      <c r="D281" s="18" t="inlineStr">
        <is>
          <t>Licence</t>
        </is>
      </c>
      <c r="E281" s="18" t="inlineStr">
        <is>
          <t>L2</t>
        </is>
      </c>
      <c r="F281" s="18" t="inlineStr">
        <is>
          <t>Semestre 4</t>
        </is>
      </c>
      <c r="G281" s="18" t="inlineStr">
        <is>
          <t>Technologie de l'information et de la communication</t>
        </is>
      </c>
      <c r="H281" s="18" t="inlineStr">
        <is>
          <t>Initiation à l'informatique (bureautique)</t>
        </is>
      </c>
      <c r="I281" s="17" t="n">
        <v>1</v>
      </c>
      <c r="J281" s="17" t="n">
        <v>1</v>
      </c>
      <c r="K281" s="18" t="inlineStr">
        <is>
          <t>TIC / bureautique</t>
        </is>
      </c>
      <c r="L281" s="18" t="inlineStr">
        <is>
          <t>APA|Semestre 4|Technologie de l'information et de la communication</t>
        </is>
      </c>
    </row>
    <row r="282">
      <c r="A282" s="4" t="inlineStr">
        <is>
          <t>APA</t>
        </is>
      </c>
      <c r="B282" s="4" t="inlineStr">
        <is>
          <t>Activités Physiques Adaptées (APA)</t>
        </is>
      </c>
      <c r="C282" s="4" t="inlineStr">
        <is>
          <t>ENSEPS</t>
        </is>
      </c>
      <c r="D282" s="4" t="inlineStr">
        <is>
          <t>Licence</t>
        </is>
      </c>
      <c r="E282" s="4" t="inlineStr">
        <is>
          <t>L2</t>
        </is>
      </c>
      <c r="F282" s="4" t="inlineStr">
        <is>
          <t>Semestre 4</t>
        </is>
      </c>
      <c r="G282" s="4" t="inlineStr">
        <is>
          <t>Technique d'expression écrite et orale</t>
        </is>
      </c>
      <c r="H282" s="4" t="inlineStr">
        <is>
          <t>Anglais professionnel spécifique aux APAS</t>
        </is>
      </c>
      <c r="I282" s="16" t="n">
        <v>1</v>
      </c>
      <c r="J282" s="16" t="n">
        <v>2</v>
      </c>
      <c r="K282" s="4" t="inlineStr">
        <is>
          <t>Langues &amp; communication</t>
        </is>
      </c>
      <c r="L282" s="4" t="inlineStr">
        <is>
          <t>APA|Semestre 4|Technique d'expression écrite et orale</t>
        </is>
      </c>
    </row>
    <row r="283">
      <c r="A283" s="18" t="inlineStr">
        <is>
          <t>APA</t>
        </is>
      </c>
      <c r="B283" s="18" t="inlineStr">
        <is>
          <t>Activités Physiques Adaptées (APA)</t>
        </is>
      </c>
      <c r="C283" s="18" t="inlineStr">
        <is>
          <t>ENSEPS</t>
        </is>
      </c>
      <c r="D283" s="18" t="inlineStr">
        <is>
          <t>Licence</t>
        </is>
      </c>
      <c r="E283" s="18" t="inlineStr">
        <is>
          <t>L3</t>
        </is>
      </c>
      <c r="F283" s="18" t="inlineStr">
        <is>
          <t>Semestre 5</t>
        </is>
      </c>
      <c r="G283" s="18" t="inlineStr">
        <is>
          <t>Sciences de la vie et de la santé et handicap</t>
        </is>
      </c>
      <c r="H283" s="18" t="inlineStr">
        <is>
          <t>ECUE 1 : Étiologie et physiopathologie des déficiences ; ECUE 2 : Analyse neuromusculaire de la posture et du mouvement</t>
        </is>
      </c>
      <c r="I283" s="17" t="n">
        <v>2</v>
      </c>
      <c r="J283" s="17" t="n">
        <v>4</v>
      </c>
      <c r="K283" s="18" t="inlineStr">
        <is>
          <t>APA (activité physique adaptée)</t>
        </is>
      </c>
      <c r="L283" s="18" t="inlineStr">
        <is>
          <t>APA|Semestre 5|Sciences de la vie et de la santé et handicap</t>
        </is>
      </c>
    </row>
    <row r="284">
      <c r="A284" s="4" t="inlineStr">
        <is>
          <t>APA</t>
        </is>
      </c>
      <c r="B284" s="4" t="inlineStr">
        <is>
          <t>Activités Physiques Adaptées (APA)</t>
        </is>
      </c>
      <c r="C284" s="4" t="inlineStr">
        <is>
          <t>ENSEPS</t>
        </is>
      </c>
      <c r="D284" s="4" t="inlineStr">
        <is>
          <t>Licence</t>
        </is>
      </c>
      <c r="E284" s="4" t="inlineStr">
        <is>
          <t>L3</t>
        </is>
      </c>
      <c r="F284" s="4" t="inlineStr">
        <is>
          <t>Semestre 5</t>
        </is>
      </c>
      <c r="G284" s="4" t="inlineStr">
        <is>
          <t>Protocole de prise en charge par l'APA et déontologie</t>
        </is>
      </c>
      <c r="H284" s="4" t="inlineStr">
        <is>
          <t>ECUE 1 : APA : bilan et conduite pratique en rééducation ; ECUE 2 : Morale, éthique du care et bientraitance</t>
        </is>
      </c>
      <c r="I284" s="16" t="n">
        <v>2</v>
      </c>
      <c r="J284" s="16" t="n">
        <v>4</v>
      </c>
      <c r="K284" s="4" t="inlineStr">
        <is>
          <t>APA (activité physique adaptée)</t>
        </is>
      </c>
      <c r="L284" s="4" t="inlineStr">
        <is>
          <t>APA|Semestre 5|Protocole de prise en charge par l'APA et déontologie</t>
        </is>
      </c>
    </row>
    <row r="285">
      <c r="A285" s="18" t="inlineStr">
        <is>
          <t>APA</t>
        </is>
      </c>
      <c r="B285" s="18" t="inlineStr">
        <is>
          <t>Activités Physiques Adaptées (APA)</t>
        </is>
      </c>
      <c r="C285" s="18" t="inlineStr">
        <is>
          <t>ENSEPS</t>
        </is>
      </c>
      <c r="D285" s="18" t="inlineStr">
        <is>
          <t>Licence</t>
        </is>
      </c>
      <c r="E285" s="18" t="inlineStr">
        <is>
          <t>L3</t>
        </is>
      </c>
      <c r="F285" s="18" t="inlineStr">
        <is>
          <t>Semestre 5</t>
        </is>
      </c>
      <c r="G285" s="18" t="inlineStr">
        <is>
          <t>Diagnostic des incapacités et prise en charge des populations spéciales</t>
        </is>
      </c>
      <c r="H285" s="18" t="inlineStr">
        <is>
          <t>ECUE 1 : Rééducation par les APA pour populations spécifiques 2 ; ECUE 2 : Mesure et évaluation de la condition physique</t>
        </is>
      </c>
      <c r="I285" s="17" t="n">
        <v>2</v>
      </c>
      <c r="J285" s="17" t="n">
        <v>6</v>
      </c>
      <c r="K285" s="18" t="inlineStr">
        <is>
          <t>TIC / bureautique</t>
        </is>
      </c>
      <c r="L285" s="18" t="inlineStr">
        <is>
          <t>APA|Semestre 5|Diagnostic des incapacités et prise en charge des populations spéciales</t>
        </is>
      </c>
    </row>
    <row r="286">
      <c r="A286" s="4" t="inlineStr">
        <is>
          <t>APA</t>
        </is>
      </c>
      <c r="B286" s="4" t="inlineStr">
        <is>
          <t>Activités Physiques Adaptées (APA)</t>
        </is>
      </c>
      <c r="C286" s="4" t="inlineStr">
        <is>
          <t>ENSEPS</t>
        </is>
      </c>
      <c r="D286" s="4" t="inlineStr">
        <is>
          <t>Licence</t>
        </is>
      </c>
      <c r="E286" s="4" t="inlineStr">
        <is>
          <t>L3</t>
        </is>
      </c>
      <c r="F286" s="4" t="inlineStr">
        <is>
          <t>Semestre 5</t>
        </is>
      </c>
      <c r="G286" s="4" t="inlineStr">
        <is>
          <t>Prévention de la santé et traitement des pathologies par les APA</t>
        </is>
      </c>
      <c r="H286" s="4" t="inlineStr">
        <is>
          <t>ECUE 1 : Conditionnement physique et prévention des pathologies 1 ; ECUE 2 : Programmes d'APA les plus efficients dans le traitement de diverses pathologies</t>
        </is>
      </c>
      <c r="I286" s="16" t="n">
        <v>2</v>
      </c>
      <c r="J286" s="16" t="n">
        <v>6</v>
      </c>
      <c r="K286" s="4" t="inlineStr">
        <is>
          <t>APA (activité physique adaptée)</t>
        </is>
      </c>
      <c r="L286" s="4" t="inlineStr">
        <is>
          <t>APA|Semestre 5|Prévention de la santé et traitement des pathologies par les APA</t>
        </is>
      </c>
    </row>
    <row r="287">
      <c r="A287" s="18" t="inlineStr">
        <is>
          <t>APA</t>
        </is>
      </c>
      <c r="B287" s="18" t="inlineStr">
        <is>
          <t>Activités Physiques Adaptées (APA)</t>
        </is>
      </c>
      <c r="C287" s="18" t="inlineStr">
        <is>
          <t>ENSEPS</t>
        </is>
      </c>
      <c r="D287" s="18" t="inlineStr">
        <is>
          <t>Licence</t>
        </is>
      </c>
      <c r="E287" s="18" t="inlineStr">
        <is>
          <t>L3</t>
        </is>
      </c>
      <c r="F287" s="18" t="inlineStr">
        <is>
          <t>Semestre 5</t>
        </is>
      </c>
      <c r="G287" s="18" t="inlineStr">
        <is>
          <t>Brevet National de Secourisme</t>
        </is>
      </c>
      <c r="H287" s="18" t="inlineStr">
        <is>
          <t>Préparation au BNS</t>
        </is>
      </c>
      <c r="I287" s="17" t="n">
        <v>1</v>
      </c>
      <c r="J287" s="17" t="n">
        <v>2</v>
      </c>
      <c r="K287" s="18" t="inlineStr">
        <is>
          <t>Transversal / civique / secourisme</t>
        </is>
      </c>
      <c r="L287" s="18" t="inlineStr">
        <is>
          <t>APA|Semestre 5|Brevet National de Secourisme</t>
        </is>
      </c>
    </row>
    <row r="288">
      <c r="A288" s="4" t="inlineStr">
        <is>
          <t>APA</t>
        </is>
      </c>
      <c r="B288" s="4" t="inlineStr">
        <is>
          <t>Activités Physiques Adaptées (APA)</t>
        </is>
      </c>
      <c r="C288" s="4" t="inlineStr">
        <is>
          <t>ENSEPS</t>
        </is>
      </c>
      <c r="D288" s="4" t="inlineStr">
        <is>
          <t>Licence</t>
        </is>
      </c>
      <c r="E288" s="4" t="inlineStr">
        <is>
          <t>L3</t>
        </is>
      </c>
      <c r="F288" s="4" t="inlineStr">
        <is>
          <t>Semestre 5</t>
        </is>
      </c>
      <c r="G288" s="4" t="inlineStr">
        <is>
          <t>Spécialisation théorique et pratique dans une APS</t>
        </is>
      </c>
      <c r="H288" s="4" t="inlineStr">
        <is>
          <t>APS de spécialité</t>
        </is>
      </c>
      <c r="I288" s="16" t="n">
        <v>1</v>
      </c>
      <c r="J288" s="16" t="n">
        <v>3</v>
      </c>
      <c r="K288" s="4" t="inlineStr">
        <is>
          <t>Pratiques sportives (APS)</t>
        </is>
      </c>
      <c r="L288" s="4" t="inlineStr">
        <is>
          <t>APA|Semestre 5|Spécialisation théorique et pratique dans une APS</t>
        </is>
      </c>
    </row>
    <row r="289">
      <c r="A289" s="18" t="inlineStr">
        <is>
          <t>APA</t>
        </is>
      </c>
      <c r="B289" s="18" t="inlineStr">
        <is>
          <t>Activités Physiques Adaptées (APA)</t>
        </is>
      </c>
      <c r="C289" s="18" t="inlineStr">
        <is>
          <t>ENSEPS</t>
        </is>
      </c>
      <c r="D289" s="18" t="inlineStr">
        <is>
          <t>Licence</t>
        </is>
      </c>
      <c r="E289" s="18" t="inlineStr">
        <is>
          <t>L3</t>
        </is>
      </c>
      <c r="F289" s="18" t="inlineStr">
        <is>
          <t>Semestre 5</t>
        </is>
      </c>
      <c r="G289" s="18" t="inlineStr">
        <is>
          <t>Méthodologie et outils</t>
        </is>
      </c>
      <c r="H289" s="18" t="inlineStr">
        <is>
          <t>Méthodologie de la recherche scientifique : élaboration de projet de recherche</t>
        </is>
      </c>
      <c r="I289" s="17" t="n">
        <v>1</v>
      </c>
      <c r="J289" s="17" t="n">
        <v>2</v>
      </c>
      <c r="K289" s="18" t="inlineStr">
        <is>
          <t>Recherche &amp; méthodologie</t>
        </is>
      </c>
      <c r="L289" s="18" t="inlineStr">
        <is>
          <t>APA|Semestre 5|Méthodologie et outils</t>
        </is>
      </c>
    </row>
    <row r="290">
      <c r="A290" s="4" t="inlineStr">
        <is>
          <t>APA</t>
        </is>
      </c>
      <c r="B290" s="4" t="inlineStr">
        <is>
          <t>Activités Physiques Adaptées (APA)</t>
        </is>
      </c>
      <c r="C290" s="4" t="inlineStr">
        <is>
          <t>ENSEPS</t>
        </is>
      </c>
      <c r="D290" s="4" t="inlineStr">
        <is>
          <t>Licence</t>
        </is>
      </c>
      <c r="E290" s="4" t="inlineStr">
        <is>
          <t>L3</t>
        </is>
      </c>
      <c r="F290" s="4" t="inlineStr">
        <is>
          <t>Semestre 5</t>
        </is>
      </c>
      <c r="G290" s="4" t="inlineStr">
        <is>
          <t>Technique d'expression écrite et orale</t>
        </is>
      </c>
      <c r="H290" s="4" t="inlineStr">
        <is>
          <t>Anglais spécifique aux APAS</t>
        </is>
      </c>
      <c r="I290" s="16" t="n">
        <v>1</v>
      </c>
      <c r="J290" s="16" t="n">
        <v>2</v>
      </c>
      <c r="K290" s="4" t="inlineStr">
        <is>
          <t>Langues &amp; communication</t>
        </is>
      </c>
      <c r="L290" s="4" t="inlineStr">
        <is>
          <t>APA|Semestre 5|Technique d'expression écrite et orale</t>
        </is>
      </c>
    </row>
    <row r="291">
      <c r="A291" s="18" t="inlineStr">
        <is>
          <t>APA</t>
        </is>
      </c>
      <c r="B291" s="18" t="inlineStr">
        <is>
          <t>Activités Physiques Adaptées (APA)</t>
        </is>
      </c>
      <c r="C291" s="18" t="inlineStr">
        <is>
          <t>ENSEPS</t>
        </is>
      </c>
      <c r="D291" s="18" t="inlineStr">
        <is>
          <t>Licence</t>
        </is>
      </c>
      <c r="E291" s="18" t="inlineStr">
        <is>
          <t>L3</t>
        </is>
      </c>
      <c r="F291" s="18" t="inlineStr">
        <is>
          <t>Semestre 5</t>
        </is>
      </c>
      <c r="G291" s="18" t="inlineStr">
        <is>
          <t>Life Skills</t>
        </is>
      </c>
      <c r="H291" s="18" t="inlineStr">
        <is>
          <t>Culture civique</t>
        </is>
      </c>
      <c r="I291" s="17" t="n">
        <v>1</v>
      </c>
      <c r="J291" s="17" t="n">
        <v>1</v>
      </c>
      <c r="K291" s="18" t="inlineStr">
        <is>
          <t>Transversal / civique / secourisme</t>
        </is>
      </c>
      <c r="L291" s="18" t="inlineStr">
        <is>
          <t>APA|Semestre 5|Life Skills</t>
        </is>
      </c>
    </row>
    <row r="292">
      <c r="A292" s="4" t="inlineStr">
        <is>
          <t>APA</t>
        </is>
      </c>
      <c r="B292" s="4" t="inlineStr">
        <is>
          <t>Activités Physiques Adaptées (APA)</t>
        </is>
      </c>
      <c r="C292" s="4" t="inlineStr">
        <is>
          <t>ENSEPS</t>
        </is>
      </c>
      <c r="D292" s="4" t="inlineStr">
        <is>
          <t>Licence</t>
        </is>
      </c>
      <c r="E292" s="4" t="inlineStr">
        <is>
          <t>L3</t>
        </is>
      </c>
      <c r="F292" s="4" t="inlineStr">
        <is>
          <t>Semestre 6</t>
        </is>
      </c>
      <c r="G292" s="4" t="inlineStr">
        <is>
          <t>Entrepreneuriat</t>
        </is>
      </c>
      <c r="H292" s="4" t="inlineStr">
        <is>
          <t>Développement communautaire en APA</t>
        </is>
      </c>
      <c r="I292" s="16" t="n">
        <v>1</v>
      </c>
      <c r="J292" s="16" t="n">
        <v>2</v>
      </c>
      <c r="K292" s="4" t="inlineStr">
        <is>
          <t>Management / droit / économie</t>
        </is>
      </c>
      <c r="L292" s="4" t="inlineStr">
        <is>
          <t>APA|Semestre 6|Entrepreneuriat</t>
        </is>
      </c>
    </row>
    <row r="293">
      <c r="A293" s="18" t="inlineStr">
        <is>
          <t>APA</t>
        </is>
      </c>
      <c r="B293" s="18" t="inlineStr">
        <is>
          <t>Activités Physiques Adaptées (APA)</t>
        </is>
      </c>
      <c r="C293" s="18" t="inlineStr">
        <is>
          <t>ENSEPS</t>
        </is>
      </c>
      <c r="D293" s="18" t="inlineStr">
        <is>
          <t>Licence</t>
        </is>
      </c>
      <c r="E293" s="18" t="inlineStr">
        <is>
          <t>L3</t>
        </is>
      </c>
      <c r="F293" s="18" t="inlineStr">
        <is>
          <t>Semestre 6</t>
        </is>
      </c>
      <c r="G293" s="18" t="inlineStr">
        <is>
          <t>Relaxation et massage des populations spéciales</t>
        </is>
      </c>
      <c r="H293" s="18" t="inlineStr">
        <is>
          <t>Techniques de massages et de relaxation des populations spéciales</t>
        </is>
      </c>
      <c r="I293" s="17" t="n">
        <v>1</v>
      </c>
      <c r="J293" s="17" t="n">
        <v>2</v>
      </c>
      <c r="K293" s="18" t="inlineStr">
        <is>
          <t>APA (activité physique adaptée)</t>
        </is>
      </c>
      <c r="L293" s="18" t="inlineStr">
        <is>
          <t>APA|Semestre 6|Relaxation et massage des populations spéciales</t>
        </is>
      </c>
    </row>
    <row r="294">
      <c r="A294" s="4" t="inlineStr">
        <is>
          <t>APA</t>
        </is>
      </c>
      <c r="B294" s="4" t="inlineStr">
        <is>
          <t>Activités Physiques Adaptées (APA)</t>
        </is>
      </c>
      <c r="C294" s="4" t="inlineStr">
        <is>
          <t>ENSEPS</t>
        </is>
      </c>
      <c r="D294" s="4" t="inlineStr">
        <is>
          <t>Licence</t>
        </is>
      </c>
      <c r="E294" s="4" t="inlineStr">
        <is>
          <t>L3</t>
        </is>
      </c>
      <c r="F294" s="4" t="inlineStr">
        <is>
          <t>Semestre 6</t>
        </is>
      </c>
      <c r="G294" s="4" t="inlineStr">
        <is>
          <t>Sciences de l'intervention en APAS</t>
        </is>
      </c>
      <c r="H294" s="4" t="inlineStr">
        <is>
          <t>Conception et planification des APA</t>
        </is>
      </c>
      <c r="I294" s="16" t="n">
        <v>1</v>
      </c>
      <c r="J294" s="16" t="n">
        <v>3</v>
      </c>
      <c r="K294" s="4" t="inlineStr">
        <is>
          <t>EPS / didactique-pédagogie</t>
        </is>
      </c>
      <c r="L294" s="4" t="inlineStr">
        <is>
          <t>APA|Semestre 6|Sciences de l'intervention en APAS</t>
        </is>
      </c>
    </row>
    <row r="295">
      <c r="A295" s="18" t="inlineStr">
        <is>
          <t>APA</t>
        </is>
      </c>
      <c r="B295" s="18" t="inlineStr">
        <is>
          <t>Activités Physiques Adaptées (APA)</t>
        </is>
      </c>
      <c r="C295" s="18" t="inlineStr">
        <is>
          <t>ENSEPS</t>
        </is>
      </c>
      <c r="D295" s="18" t="inlineStr">
        <is>
          <t>Licence</t>
        </is>
      </c>
      <c r="E295" s="18" t="inlineStr">
        <is>
          <t>L3</t>
        </is>
      </c>
      <c r="F295" s="18" t="inlineStr">
        <is>
          <t>Semestre 6</t>
        </is>
      </c>
      <c r="G295" s="18" t="inlineStr">
        <is>
          <t>Prise en charge des populations spéciales 3</t>
        </is>
      </c>
      <c r="H295" s="18" t="inlineStr">
        <is>
          <t>Rééducation par les APA pour populations spécifiques 3</t>
        </is>
      </c>
      <c r="I295" s="17" t="n">
        <v>1</v>
      </c>
      <c r="J295" s="17" t="n">
        <v>2</v>
      </c>
      <c r="K295" s="18" t="inlineStr">
        <is>
          <t>APA (activité physique adaptée)</t>
        </is>
      </c>
      <c r="L295" s="18" t="inlineStr">
        <is>
          <t>APA|Semestre 6|Prise en charge des populations spéciales 3</t>
        </is>
      </c>
    </row>
    <row r="296">
      <c r="A296" s="4" t="inlineStr">
        <is>
          <t>APA</t>
        </is>
      </c>
      <c r="B296" s="4" t="inlineStr">
        <is>
          <t>Activités Physiques Adaptées (APA)</t>
        </is>
      </c>
      <c r="C296" s="4" t="inlineStr">
        <is>
          <t>ENSEPS</t>
        </is>
      </c>
      <c r="D296" s="4" t="inlineStr">
        <is>
          <t>Licence</t>
        </is>
      </c>
      <c r="E296" s="4" t="inlineStr">
        <is>
          <t>L3</t>
        </is>
      </c>
      <c r="F296" s="4" t="inlineStr">
        <is>
          <t>Semestre 6</t>
        </is>
      </c>
      <c r="G296" s="4" t="inlineStr">
        <is>
          <t>Sciences et métiers de la prévention par les APS</t>
        </is>
      </c>
      <c r="H296" s="4" t="inlineStr">
        <is>
          <t>Programme d'Intégration, d'Équilibre Dynamique 1 (PIED)</t>
        </is>
      </c>
      <c r="I296" s="16" t="n">
        <v>1</v>
      </c>
      <c r="J296" s="16" t="n">
        <v>3</v>
      </c>
      <c r="K296" s="4" t="inlineStr">
        <is>
          <t>APA (activité physique adaptée)</t>
        </is>
      </c>
      <c r="L296" s="4" t="inlineStr">
        <is>
          <t>APA|Semestre 6|Sciences et métiers de la prévention par les APS</t>
        </is>
      </c>
    </row>
    <row r="297">
      <c r="A297" s="18" t="inlineStr">
        <is>
          <t>APA</t>
        </is>
      </c>
      <c r="B297" s="18" t="inlineStr">
        <is>
          <t>Activités Physiques Adaptées (APA)</t>
        </is>
      </c>
      <c r="C297" s="18" t="inlineStr">
        <is>
          <t>ENSEPS</t>
        </is>
      </c>
      <c r="D297" s="18" t="inlineStr">
        <is>
          <t>Licence</t>
        </is>
      </c>
      <c r="E297" s="18" t="inlineStr">
        <is>
          <t>L3</t>
        </is>
      </c>
      <c r="F297" s="18" t="inlineStr">
        <is>
          <t>Semestre 6</t>
        </is>
      </c>
      <c r="G297" s="18" t="inlineStr">
        <is>
          <t>Prévention de la santé par le fitness</t>
        </is>
      </c>
      <c r="H297" s="18" t="inlineStr">
        <is>
          <t>Pratique du fitness et prévention des pathologies</t>
        </is>
      </c>
      <c r="I297" s="17" t="n">
        <v>1</v>
      </c>
      <c r="J297" s="17" t="n">
        <v>3</v>
      </c>
      <c r="K297" s="18" t="inlineStr">
        <is>
          <t>APA (activité physique adaptée)</t>
        </is>
      </c>
      <c r="L297" s="18" t="inlineStr">
        <is>
          <t>APA|Semestre 6|Prévention de la santé par le fitness</t>
        </is>
      </c>
    </row>
    <row r="298">
      <c r="A298" s="4" t="inlineStr">
        <is>
          <t>APA</t>
        </is>
      </c>
      <c r="B298" s="4" t="inlineStr">
        <is>
          <t>Activités Physiques Adaptées (APA)</t>
        </is>
      </c>
      <c r="C298" s="4" t="inlineStr">
        <is>
          <t>ENSEPS</t>
        </is>
      </c>
      <c r="D298" s="4" t="inlineStr">
        <is>
          <t>Licence</t>
        </is>
      </c>
      <c r="E298" s="4" t="inlineStr">
        <is>
          <t>L3</t>
        </is>
      </c>
      <c r="F298" s="4" t="inlineStr">
        <is>
          <t>Semestre 6</t>
        </is>
      </c>
      <c r="G298" s="4" t="inlineStr">
        <is>
          <t>Spécialisation théorique et pratique dans une APS</t>
        </is>
      </c>
      <c r="H298" s="4" t="inlineStr">
        <is>
          <t>APS de spécialité</t>
        </is>
      </c>
      <c r="I298" s="16" t="n">
        <v>1</v>
      </c>
      <c r="J298" s="16" t="n">
        <v>3</v>
      </c>
      <c r="K298" s="4" t="inlineStr">
        <is>
          <t>Pratiques sportives (APS)</t>
        </is>
      </c>
      <c r="L298" s="4" t="inlineStr">
        <is>
          <t>APA|Semestre 6|Spécialisation théorique et pratique dans une APS</t>
        </is>
      </c>
    </row>
    <row r="299">
      <c r="A299" s="18" t="inlineStr">
        <is>
          <t>APA</t>
        </is>
      </c>
      <c r="B299" s="18" t="inlineStr">
        <is>
          <t>Activités Physiques Adaptées (APA)</t>
        </is>
      </c>
      <c r="C299" s="18" t="inlineStr">
        <is>
          <t>ENSEPS</t>
        </is>
      </c>
      <c r="D299" s="18" t="inlineStr">
        <is>
          <t>Licence</t>
        </is>
      </c>
      <c r="E299" s="18" t="inlineStr">
        <is>
          <t>L3</t>
        </is>
      </c>
      <c r="F299" s="18" t="inlineStr">
        <is>
          <t>Semestre 6</t>
        </is>
      </c>
      <c r="G299" s="18" t="inlineStr">
        <is>
          <t>Traumatologie du sport</t>
        </is>
      </c>
      <c r="H299" s="18" t="inlineStr">
        <is>
          <t>Pathologies liées à la pratique du sport et leurs traitements</t>
        </is>
      </c>
      <c r="I299" s="17" t="n">
        <v>1</v>
      </c>
      <c r="J299" s="17" t="n">
        <v>2</v>
      </c>
      <c r="K299" s="18" t="inlineStr">
        <is>
          <t>Sciences biomédicales</t>
        </is>
      </c>
      <c r="L299" s="18" t="inlineStr">
        <is>
          <t>APA|Semestre 6|Traumatologie du sport</t>
        </is>
      </c>
    </row>
    <row r="300">
      <c r="A300" s="4" t="inlineStr">
        <is>
          <t>APA</t>
        </is>
      </c>
      <c r="B300" s="4" t="inlineStr">
        <is>
          <t>Activités Physiques Adaptées (APA)</t>
        </is>
      </c>
      <c r="C300" s="4" t="inlineStr">
        <is>
          <t>ENSEPS</t>
        </is>
      </c>
      <c r="D300" s="4" t="inlineStr">
        <is>
          <t>Licence</t>
        </is>
      </c>
      <c r="E300" s="4" t="inlineStr">
        <is>
          <t>L3</t>
        </is>
      </c>
      <c r="F300" s="4" t="inlineStr">
        <is>
          <t>Semestre 6</t>
        </is>
      </c>
      <c r="G300" s="4" t="inlineStr">
        <is>
          <t>Pré-professionnalisation</t>
        </is>
      </c>
      <c r="H300" s="4" t="inlineStr">
        <is>
          <t>Stage dans une structure spécialisée dans la prise en charge des populations spéciales</t>
        </is>
      </c>
      <c r="I300" s="16" t="n">
        <v>1</v>
      </c>
      <c r="J300" s="16" t="n">
        <v>4</v>
      </c>
      <c r="K300" s="4" t="inlineStr">
        <is>
          <t>Professionnalisation / stages</t>
        </is>
      </c>
      <c r="L300" s="4" t="inlineStr">
        <is>
          <t>APA|Semestre 6|Pré-professionnalisation</t>
        </is>
      </c>
    </row>
    <row r="301">
      <c r="A301" s="18" t="inlineStr">
        <is>
          <t>APA</t>
        </is>
      </c>
      <c r="B301" s="18" t="inlineStr">
        <is>
          <t>Activités Physiques Adaptées (APA)</t>
        </is>
      </c>
      <c r="C301" s="18" t="inlineStr">
        <is>
          <t>ENSEPS</t>
        </is>
      </c>
      <c r="D301" s="18" t="inlineStr">
        <is>
          <t>Licence</t>
        </is>
      </c>
      <c r="E301" s="18" t="inlineStr">
        <is>
          <t>L3</t>
        </is>
      </c>
      <c r="F301" s="18" t="inlineStr">
        <is>
          <t>Semestre 6</t>
        </is>
      </c>
      <c r="G301" s="18" t="inlineStr">
        <is>
          <t>Formation à la recherche scientifique</t>
        </is>
      </c>
      <c r="H301" s="18" t="inlineStr">
        <is>
          <t>Séminaire de recherche : élaboration de projet de mémoire</t>
        </is>
      </c>
      <c r="I301" s="17" t="n">
        <v>1</v>
      </c>
      <c r="J301" s="17" t="n">
        <v>3</v>
      </c>
      <c r="K301" s="18" t="inlineStr">
        <is>
          <t>Recherche &amp; méthodologie</t>
        </is>
      </c>
      <c r="L301" s="18" t="inlineStr">
        <is>
          <t>APA|Semestre 6|Formation à la recherche scientifique</t>
        </is>
      </c>
    </row>
    <row r="302">
      <c r="A302" s="4" t="inlineStr">
        <is>
          <t>APA</t>
        </is>
      </c>
      <c r="B302" s="4" t="inlineStr">
        <is>
          <t>Activités Physiques Adaptées (APA)</t>
        </is>
      </c>
      <c r="C302" s="4" t="inlineStr">
        <is>
          <t>ENSEPS</t>
        </is>
      </c>
      <c r="D302" s="4" t="inlineStr">
        <is>
          <t>Licence</t>
        </is>
      </c>
      <c r="E302" s="4" t="inlineStr">
        <is>
          <t>L3</t>
        </is>
      </c>
      <c r="F302" s="4" t="inlineStr">
        <is>
          <t>Semestre 6</t>
        </is>
      </c>
      <c r="G302" s="4" t="inlineStr">
        <is>
          <t>Technique d'expression écrite et orale</t>
        </is>
      </c>
      <c r="H302" s="4" t="inlineStr">
        <is>
          <t>Anglais spécifique aux APA</t>
        </is>
      </c>
      <c r="I302" s="16" t="n">
        <v>1</v>
      </c>
      <c r="J302" s="16" t="n">
        <v>2</v>
      </c>
      <c r="K302" s="4" t="inlineStr">
        <is>
          <t>Langues &amp; communication</t>
        </is>
      </c>
      <c r="L302" s="4" t="inlineStr">
        <is>
          <t>APA|Semestre 6|Technique d'expression écrite et orale</t>
        </is>
      </c>
    </row>
    <row r="303">
      <c r="A303" s="18" t="inlineStr">
        <is>
          <t>APA</t>
        </is>
      </c>
      <c r="B303" s="18" t="inlineStr">
        <is>
          <t>Activités Physiques Adaptées (APA)</t>
        </is>
      </c>
      <c r="C303" s="18" t="inlineStr">
        <is>
          <t>ENSEPS</t>
        </is>
      </c>
      <c r="D303" s="18" t="inlineStr">
        <is>
          <t>Licence</t>
        </is>
      </c>
      <c r="E303" s="18" t="inlineStr">
        <is>
          <t>L3</t>
        </is>
      </c>
      <c r="F303" s="18" t="inlineStr">
        <is>
          <t>Semestre 6</t>
        </is>
      </c>
      <c r="G303" s="18" t="inlineStr">
        <is>
          <t>Technologie de l'information et de la communication</t>
        </is>
      </c>
      <c r="H303" s="18" t="inlineStr">
        <is>
          <t>Conception et présentation des travaux avec PowerPoint</t>
        </is>
      </c>
      <c r="I303" s="17" t="n">
        <v>1</v>
      </c>
      <c r="J303" s="17" t="n">
        <v>1</v>
      </c>
      <c r="K303" s="18" t="inlineStr">
        <is>
          <t>TIC / bureautique</t>
        </is>
      </c>
      <c r="L303" s="18" t="inlineStr">
        <is>
          <t>APA|Semestre 6|Technologie de l'information et de la communication</t>
        </is>
      </c>
    </row>
    <row r="304">
      <c r="A304" s="4" t="inlineStr">
        <is>
          <t>APA</t>
        </is>
      </c>
      <c r="B304" s="4" t="inlineStr">
        <is>
          <t>Activités Physiques Adaptées (APA)</t>
        </is>
      </c>
      <c r="C304" s="4" t="inlineStr">
        <is>
          <t>ENSEPS</t>
        </is>
      </c>
      <c r="D304" s="4" t="inlineStr">
        <is>
          <t>Master</t>
        </is>
      </c>
      <c r="E304" s="4" t="inlineStr">
        <is>
          <t>M1</t>
        </is>
      </c>
      <c r="F304" s="4" t="inlineStr">
        <is>
          <t>Semestre 1 (M1/S7)</t>
        </is>
      </c>
      <c r="G304" s="4" t="inlineStr">
        <is>
          <t>Sciences de la vie et de la santé et APA</t>
        </is>
      </c>
      <c r="H304" s="4" t="inlineStr">
        <is>
          <t>ECUE 1 : Physiologie cardiovasculaire et activité physique ; ECUE 2 : Physiopathologie des maladies chroniques cardio-respiratoires et musculo-squelettiques</t>
        </is>
      </c>
      <c r="I304" s="16" t="n">
        <v>2</v>
      </c>
      <c r="J304" s="16" t="n">
        <v>6</v>
      </c>
      <c r="K304" s="4" t="inlineStr">
        <is>
          <t>APA (activité physique adaptée)</t>
        </is>
      </c>
      <c r="L304" s="4" t="inlineStr">
        <is>
          <t>APA|Semestre 1 (M1/S7)|Sciences de la vie et de la santé et APA</t>
        </is>
      </c>
    </row>
    <row r="305">
      <c r="A305" s="18" t="inlineStr">
        <is>
          <t>APA</t>
        </is>
      </c>
      <c r="B305" s="18" t="inlineStr">
        <is>
          <t>Activités Physiques Adaptées (APA)</t>
        </is>
      </c>
      <c r="C305" s="18" t="inlineStr">
        <is>
          <t>ENSEPS</t>
        </is>
      </c>
      <c r="D305" s="18" t="inlineStr">
        <is>
          <t>Master</t>
        </is>
      </c>
      <c r="E305" s="18" t="inlineStr">
        <is>
          <t>M1</t>
        </is>
      </c>
      <c r="F305" s="18" t="inlineStr">
        <is>
          <t>Semestre 1 (M1/S7)</t>
        </is>
      </c>
      <c r="G305" s="18" t="inlineStr">
        <is>
          <t>Approche pratique du vieillissement</t>
        </is>
      </c>
      <c r="H305" s="18" t="inlineStr">
        <is>
          <t>Techniques de remise en condition physique des seniors : conditionnement en salle</t>
        </is>
      </c>
      <c r="I305" s="17" t="n">
        <v>1</v>
      </c>
      <c r="J305" s="17" t="n">
        <v>3</v>
      </c>
      <c r="K305" s="18" t="inlineStr">
        <is>
          <t>APA (activité physique adaptée)</t>
        </is>
      </c>
      <c r="L305" s="18" t="inlineStr">
        <is>
          <t>APA|Semestre 1 (M1/S7)|Approche pratique du vieillissement</t>
        </is>
      </c>
    </row>
    <row r="306">
      <c r="A306" s="4" t="inlineStr">
        <is>
          <t>APA</t>
        </is>
      </c>
      <c r="B306" s="4" t="inlineStr">
        <is>
          <t>Activités Physiques Adaptées (APA)</t>
        </is>
      </c>
      <c r="C306" s="4" t="inlineStr">
        <is>
          <t>ENSEPS</t>
        </is>
      </c>
      <c r="D306" s="4" t="inlineStr">
        <is>
          <t>Master</t>
        </is>
      </c>
      <c r="E306" s="4" t="inlineStr">
        <is>
          <t>M1</t>
        </is>
      </c>
      <c r="F306" s="4" t="inlineStr">
        <is>
          <t>Semestre 1 (M1/S7)</t>
        </is>
      </c>
      <c r="G306" s="4" t="inlineStr">
        <is>
          <t>Évaluation de la condition physique des populations spéciales</t>
        </is>
      </c>
      <c r="H306" s="4" t="inlineStr">
        <is>
          <t>Tests d'évaluation de la condition physique des seniors</t>
        </is>
      </c>
      <c r="I306" s="16" t="n">
        <v>1</v>
      </c>
      <c r="J306" s="16" t="n">
        <v>3</v>
      </c>
      <c r="K306" s="4" t="inlineStr">
        <is>
          <t>APA (activité physique adaptée)</t>
        </is>
      </c>
      <c r="L306" s="4" t="inlineStr">
        <is>
          <t>APA|Semestre 1 (M1/S7)|Évaluation de la condition physique des populations spéciales</t>
        </is>
      </c>
    </row>
    <row r="307">
      <c r="A307" s="18" t="inlineStr">
        <is>
          <t>APA</t>
        </is>
      </c>
      <c r="B307" s="18" t="inlineStr">
        <is>
          <t>Activités Physiques Adaptées (APA)</t>
        </is>
      </c>
      <c r="C307" s="18" t="inlineStr">
        <is>
          <t>ENSEPS</t>
        </is>
      </c>
      <c r="D307" s="18" t="inlineStr">
        <is>
          <t>Master</t>
        </is>
      </c>
      <c r="E307" s="18" t="inlineStr">
        <is>
          <t>M1</t>
        </is>
      </c>
      <c r="F307" s="18" t="inlineStr">
        <is>
          <t>Semestre 1 (M1/S7)</t>
        </is>
      </c>
      <c r="G307" s="18" t="inlineStr">
        <is>
          <t>Formation professionnelle</t>
        </is>
      </c>
      <c r="H307" s="18" t="inlineStr">
        <is>
          <t>Pratique du fitness par les populations spéciales</t>
        </is>
      </c>
      <c r="I307" s="17" t="n">
        <v>1</v>
      </c>
      <c r="J307" s="17" t="n">
        <v>3</v>
      </c>
      <c r="K307" s="18" t="inlineStr">
        <is>
          <t>Professionnalisation / stages</t>
        </is>
      </c>
      <c r="L307" s="18" t="inlineStr">
        <is>
          <t>APA|Semestre 1 (M1/S7)|Formation professionnelle</t>
        </is>
      </c>
    </row>
    <row r="308">
      <c r="A308" s="4" t="inlineStr">
        <is>
          <t>APA</t>
        </is>
      </c>
      <c r="B308" s="4" t="inlineStr">
        <is>
          <t>Activités Physiques Adaptées (APA)</t>
        </is>
      </c>
      <c r="C308" s="4" t="inlineStr">
        <is>
          <t>ENSEPS</t>
        </is>
      </c>
      <c r="D308" s="4" t="inlineStr">
        <is>
          <t>Master</t>
        </is>
      </c>
      <c r="E308" s="4" t="inlineStr">
        <is>
          <t>M1</t>
        </is>
      </c>
      <c r="F308" s="4" t="inlineStr">
        <is>
          <t>Semestre 1 (M1/S7)</t>
        </is>
      </c>
      <c r="G308" s="4" t="inlineStr">
        <is>
          <t>Intervention en APA</t>
        </is>
      </c>
      <c r="H308" s="4" t="inlineStr">
        <is>
          <t>Variables de l'interaction dans la conduite des séances en APA</t>
        </is>
      </c>
      <c r="I308" s="16" t="n">
        <v>1</v>
      </c>
      <c r="J308" s="16" t="n">
        <v>2</v>
      </c>
      <c r="K308" s="4" t="inlineStr">
        <is>
          <t>EPS / didactique-pédagogie</t>
        </is>
      </c>
      <c r="L308" s="4" t="inlineStr">
        <is>
          <t>APA|Semestre 1 (M1/S7)|Intervention en APA</t>
        </is>
      </c>
    </row>
    <row r="309">
      <c r="A309" s="18" t="inlineStr">
        <is>
          <t>APA</t>
        </is>
      </c>
      <c r="B309" s="18" t="inlineStr">
        <is>
          <t>Activités Physiques Adaptées (APA)</t>
        </is>
      </c>
      <c r="C309" s="18" t="inlineStr">
        <is>
          <t>ENSEPS</t>
        </is>
      </c>
      <c r="D309" s="18" t="inlineStr">
        <is>
          <t>Master</t>
        </is>
      </c>
      <c r="E309" s="18" t="inlineStr">
        <is>
          <t>M1</t>
        </is>
      </c>
      <c r="F309" s="18" t="inlineStr">
        <is>
          <t>Semestre 1 (M1/S7)</t>
        </is>
      </c>
      <c r="G309" s="18" t="inlineStr">
        <is>
          <t>Spécialisation théorique et pratique dans une APS</t>
        </is>
      </c>
      <c r="H309" s="18" t="inlineStr">
        <is>
          <t>APS de spécialité</t>
        </is>
      </c>
      <c r="I309" s="17" t="n">
        <v>1</v>
      </c>
      <c r="J309" s="17" t="n">
        <v>3</v>
      </c>
      <c r="K309" s="18" t="inlineStr">
        <is>
          <t>Pratiques sportives (APS)</t>
        </is>
      </c>
      <c r="L309" s="18" t="inlineStr">
        <is>
          <t>APA|Semestre 1 (M1/S7)|Spécialisation théorique et pratique dans une APS</t>
        </is>
      </c>
    </row>
    <row r="310">
      <c r="A310" s="4" t="inlineStr">
        <is>
          <t>APA</t>
        </is>
      </c>
      <c r="B310" s="4" t="inlineStr">
        <is>
          <t>Activités Physiques Adaptées (APA)</t>
        </is>
      </c>
      <c r="C310" s="4" t="inlineStr">
        <is>
          <t>ENSEPS</t>
        </is>
      </c>
      <c r="D310" s="4" t="inlineStr">
        <is>
          <t>Master</t>
        </is>
      </c>
      <c r="E310" s="4" t="inlineStr">
        <is>
          <t>M1</t>
        </is>
      </c>
      <c r="F310" s="4" t="inlineStr">
        <is>
          <t>Semestre 1 (M1/S7)</t>
        </is>
      </c>
      <c r="G310" s="4" t="inlineStr">
        <is>
          <t>Méthodologie de la recherche</t>
        </is>
      </c>
      <c r="H310" s="4" t="inlineStr">
        <is>
          <t>Élaboration des instruments de collecte de données</t>
        </is>
      </c>
      <c r="I310" s="16" t="n">
        <v>1</v>
      </c>
      <c r="J310" s="16" t="n">
        <v>4</v>
      </c>
      <c r="K310" s="4" t="inlineStr">
        <is>
          <t>Recherche &amp; méthodologie</t>
        </is>
      </c>
      <c r="L310" s="4" t="inlineStr">
        <is>
          <t>APA|Semestre 1 (M1/S7)|Méthodologie de la recherche</t>
        </is>
      </c>
    </row>
    <row r="311">
      <c r="A311" s="18" t="inlineStr">
        <is>
          <t>APA</t>
        </is>
      </c>
      <c r="B311" s="18" t="inlineStr">
        <is>
          <t>Activités Physiques Adaptées (APA)</t>
        </is>
      </c>
      <c r="C311" s="18" t="inlineStr">
        <is>
          <t>ENSEPS</t>
        </is>
      </c>
      <c r="D311" s="18" t="inlineStr">
        <is>
          <t>Master</t>
        </is>
      </c>
      <c r="E311" s="18" t="inlineStr">
        <is>
          <t>M1</t>
        </is>
      </c>
      <c r="F311" s="18" t="inlineStr">
        <is>
          <t>Semestre 1 (M1/S7)</t>
        </is>
      </c>
      <c r="G311" s="18" t="inlineStr">
        <is>
          <t>Formation à la recherche</t>
        </is>
      </c>
      <c r="H311" s="18" t="inlineStr">
        <is>
          <t>Séminaire de recherche</t>
        </is>
      </c>
      <c r="I311" s="17" t="n">
        <v>1</v>
      </c>
      <c r="J311" s="17" t="n">
        <v>4</v>
      </c>
      <c r="K311" s="18" t="inlineStr">
        <is>
          <t>Recherche &amp; méthodologie</t>
        </is>
      </c>
      <c r="L311" s="18" t="inlineStr">
        <is>
          <t>APA|Semestre 1 (M1/S7)|Formation à la recherche</t>
        </is>
      </c>
    </row>
    <row r="312">
      <c r="A312" s="4" t="inlineStr">
        <is>
          <t>APA</t>
        </is>
      </c>
      <c r="B312" s="4" t="inlineStr">
        <is>
          <t>Activités Physiques Adaptées (APA)</t>
        </is>
      </c>
      <c r="C312" s="4" t="inlineStr">
        <is>
          <t>ENSEPS</t>
        </is>
      </c>
      <c r="D312" s="4" t="inlineStr">
        <is>
          <t>Master</t>
        </is>
      </c>
      <c r="E312" s="4" t="inlineStr">
        <is>
          <t>M1</t>
        </is>
      </c>
      <c r="F312" s="4" t="inlineStr">
        <is>
          <t>Semestre 1 (M1/S7)</t>
        </is>
      </c>
      <c r="G312" s="4" t="inlineStr">
        <is>
          <t>Technique d'expression écrite et orale</t>
        </is>
      </c>
      <c r="H312" s="4" t="inlineStr">
        <is>
          <t>Anglais professionnel</t>
        </is>
      </c>
      <c r="I312" s="16" t="n">
        <v>1</v>
      </c>
      <c r="J312" s="16" t="n">
        <v>2</v>
      </c>
      <c r="K312" s="4" t="inlineStr">
        <is>
          <t>Langues &amp; communication</t>
        </is>
      </c>
      <c r="L312" s="4" t="inlineStr">
        <is>
          <t>APA|Semestre 1 (M1/S7)|Technique d'expression écrite et orale</t>
        </is>
      </c>
    </row>
    <row r="313">
      <c r="A313" s="18" t="inlineStr">
        <is>
          <t>APA</t>
        </is>
      </c>
      <c r="B313" s="18" t="inlineStr">
        <is>
          <t>Activités Physiques Adaptées (APA)</t>
        </is>
      </c>
      <c r="C313" s="18" t="inlineStr">
        <is>
          <t>ENSEPS</t>
        </is>
      </c>
      <c r="D313" s="18" t="inlineStr">
        <is>
          <t>Master</t>
        </is>
      </c>
      <c r="E313" s="18" t="inlineStr">
        <is>
          <t>M1</t>
        </is>
      </c>
      <c r="F313" s="18" t="inlineStr">
        <is>
          <t>Semestre 2 (M1/S8)</t>
        </is>
      </c>
      <c r="G313" s="18" t="inlineStr">
        <is>
          <t>Biomécanique et conditionnement musculaire</t>
        </is>
      </c>
      <c r="H313" s="18" t="inlineStr">
        <is>
          <t>ECUE 1 : Biomécanique appliquée au vieillissement et au handicap ; ECUE 2 : Vieillissement des systèmes cardiorespiratoire, nerveux et musculo-squelettique</t>
        </is>
      </c>
      <c r="I313" s="17" t="n">
        <v>2</v>
      </c>
      <c r="J313" s="17" t="n">
        <v>4</v>
      </c>
      <c r="K313" s="18" t="inlineStr">
        <is>
          <t>Sciences biomédicales</t>
        </is>
      </c>
      <c r="L313" s="18" t="inlineStr">
        <is>
          <t>APA|Semestre 2 (M1/S8)|Biomécanique et conditionnement musculaire</t>
        </is>
      </c>
    </row>
    <row r="314">
      <c r="A314" s="4" t="inlineStr">
        <is>
          <t>APA</t>
        </is>
      </c>
      <c r="B314" s="4" t="inlineStr">
        <is>
          <t>Activités Physiques Adaptées (APA)</t>
        </is>
      </c>
      <c r="C314" s="4" t="inlineStr">
        <is>
          <t>ENSEPS</t>
        </is>
      </c>
      <c r="D314" s="4" t="inlineStr">
        <is>
          <t>Master</t>
        </is>
      </c>
      <c r="E314" s="4" t="inlineStr">
        <is>
          <t>M1</t>
        </is>
      </c>
      <c r="F314" s="4" t="inlineStr">
        <is>
          <t>Semestre 2 (M1/S8)</t>
        </is>
      </c>
      <c r="G314" s="4" t="inlineStr">
        <is>
          <t>Nutrition et APA</t>
        </is>
      </c>
      <c r="H314" s="4" t="inlineStr">
        <is>
          <t>Alimentation et santé cardiovasculaire</t>
        </is>
      </c>
      <c r="I314" s="16" t="n">
        <v>1</v>
      </c>
      <c r="J314" s="16" t="n">
        <v>2</v>
      </c>
      <c r="K314" s="4" t="inlineStr">
        <is>
          <t>APA (activité physique adaptée)</t>
        </is>
      </c>
      <c r="L314" s="4" t="inlineStr">
        <is>
          <t>APA|Semestre 2 (M1/S8)|Nutrition et APA</t>
        </is>
      </c>
    </row>
    <row r="315">
      <c r="A315" s="18" t="inlineStr">
        <is>
          <t>APA</t>
        </is>
      </c>
      <c r="B315" s="18" t="inlineStr">
        <is>
          <t>Activités Physiques Adaptées (APA)</t>
        </is>
      </c>
      <c r="C315" s="18" t="inlineStr">
        <is>
          <t>ENSEPS</t>
        </is>
      </c>
      <c r="D315" s="18" t="inlineStr">
        <is>
          <t>Master</t>
        </is>
      </c>
      <c r="E315" s="18" t="inlineStr">
        <is>
          <t>M1</t>
        </is>
      </c>
      <c r="F315" s="18" t="inlineStr">
        <is>
          <t>Semestre 2 (M1/S8)</t>
        </is>
      </c>
      <c r="G315" s="18" t="inlineStr">
        <is>
          <t>Approche pratique du vieillissement</t>
        </is>
      </c>
      <c r="H315" s="18" t="inlineStr">
        <is>
          <t>ECUE 1 : APA aux seniors : Programme PIED 2 ; ECUE 2 : Évaluation de la condition physique des populations spéciales</t>
        </is>
      </c>
      <c r="I315" s="17" t="n">
        <v>2</v>
      </c>
      <c r="J315" s="17" t="n">
        <v>5</v>
      </c>
      <c r="K315" s="18" t="inlineStr">
        <is>
          <t>APA (activité physique adaptée)</t>
        </is>
      </c>
      <c r="L315" s="18" t="inlineStr">
        <is>
          <t>APA|Semestre 2 (M1/S8)|Approche pratique du vieillissement</t>
        </is>
      </c>
    </row>
    <row r="316">
      <c r="A316" s="4" t="inlineStr">
        <is>
          <t>APA</t>
        </is>
      </c>
      <c r="B316" s="4" t="inlineStr">
        <is>
          <t>Activités Physiques Adaptées (APA)</t>
        </is>
      </c>
      <c r="C316" s="4" t="inlineStr">
        <is>
          <t>ENSEPS</t>
        </is>
      </c>
      <c r="D316" s="4" t="inlineStr">
        <is>
          <t>Master</t>
        </is>
      </c>
      <c r="E316" s="4" t="inlineStr">
        <is>
          <t>M1</t>
        </is>
      </c>
      <c r="F316" s="4" t="inlineStr">
        <is>
          <t>Semestre 2 (M1/S8)</t>
        </is>
      </c>
      <c r="G316" s="4" t="inlineStr">
        <is>
          <t>Spécialisation théorique et pratique dans une APS</t>
        </is>
      </c>
      <c r="H316" s="4" t="inlineStr">
        <is>
          <t>APS de spécialité</t>
        </is>
      </c>
      <c r="I316" s="16" t="n">
        <v>1</v>
      </c>
      <c r="J316" s="16" t="n">
        <v>3</v>
      </c>
      <c r="K316" s="4" t="inlineStr">
        <is>
          <t>Pratiques sportives (APS)</t>
        </is>
      </c>
      <c r="L316" s="4" t="inlineStr">
        <is>
          <t>APA|Semestre 2 (M1/S8)|Spécialisation théorique et pratique dans une APS</t>
        </is>
      </c>
    </row>
    <row r="317">
      <c r="A317" s="18" t="inlineStr">
        <is>
          <t>APA</t>
        </is>
      </c>
      <c r="B317" s="18" t="inlineStr">
        <is>
          <t>Activités Physiques Adaptées (APA)</t>
        </is>
      </c>
      <c r="C317" s="18" t="inlineStr">
        <is>
          <t>ENSEPS</t>
        </is>
      </c>
      <c r="D317" s="18" t="inlineStr">
        <is>
          <t>Master</t>
        </is>
      </c>
      <c r="E317" s="18" t="inlineStr">
        <is>
          <t>M1</t>
        </is>
      </c>
      <c r="F317" s="18" t="inlineStr">
        <is>
          <t>Semestre 2 (M1/S8)</t>
        </is>
      </c>
      <c r="G317" s="18" t="inlineStr">
        <is>
          <t>Professionnalisation</t>
        </is>
      </c>
      <c r="H317" s="18" t="inlineStr">
        <is>
          <t>Stage professionnel dans une structure spécialisée : élaboration d'un projet</t>
        </is>
      </c>
      <c r="I317" s="17" t="n">
        <v>1</v>
      </c>
      <c r="J317" s="17" t="n">
        <v>5</v>
      </c>
      <c r="K317" s="18" t="inlineStr">
        <is>
          <t>Professionnalisation / stages</t>
        </is>
      </c>
      <c r="L317" s="18" t="inlineStr">
        <is>
          <t>APA|Semestre 2 (M1/S8)|Professionnalisation</t>
        </is>
      </c>
    </row>
    <row r="318">
      <c r="A318" s="4" t="inlineStr">
        <is>
          <t>APA</t>
        </is>
      </c>
      <c r="B318" s="4" t="inlineStr">
        <is>
          <t>Activités Physiques Adaptées (APA)</t>
        </is>
      </c>
      <c r="C318" s="4" t="inlineStr">
        <is>
          <t>ENSEPS</t>
        </is>
      </c>
      <c r="D318" s="4" t="inlineStr">
        <is>
          <t>Master</t>
        </is>
      </c>
      <c r="E318" s="4" t="inlineStr">
        <is>
          <t>M1</t>
        </is>
      </c>
      <c r="F318" s="4" t="inlineStr">
        <is>
          <t>Semestre 2 (M1/S8)</t>
        </is>
      </c>
      <c r="G318" s="4" t="inlineStr">
        <is>
          <t>Méthodologie de la recherche</t>
        </is>
      </c>
      <c r="H318" s="4" t="inlineStr">
        <is>
          <t>MRS 2 : conception des instruments de cueillette de données</t>
        </is>
      </c>
      <c r="I318" s="16" t="n">
        <v>1</v>
      </c>
      <c r="J318" s="16" t="n">
        <v>3</v>
      </c>
      <c r="K318" s="4" t="inlineStr">
        <is>
          <t>Recherche &amp; méthodologie</t>
        </is>
      </c>
      <c r="L318" s="4" t="inlineStr">
        <is>
          <t>APA|Semestre 2 (M1/S8)|Méthodologie de la recherche</t>
        </is>
      </c>
    </row>
    <row r="319">
      <c r="A319" s="18" t="inlineStr">
        <is>
          <t>APA</t>
        </is>
      </c>
      <c r="B319" s="18" t="inlineStr">
        <is>
          <t>Activités Physiques Adaptées (APA)</t>
        </is>
      </c>
      <c r="C319" s="18" t="inlineStr">
        <is>
          <t>ENSEPS</t>
        </is>
      </c>
      <c r="D319" s="18" t="inlineStr">
        <is>
          <t>Master</t>
        </is>
      </c>
      <c r="E319" s="18" t="inlineStr">
        <is>
          <t>M1</t>
        </is>
      </c>
      <c r="F319" s="18" t="inlineStr">
        <is>
          <t>Semestre 2 (M1/S8)</t>
        </is>
      </c>
      <c r="G319" s="18" t="inlineStr">
        <is>
          <t>Formation à la recherche</t>
        </is>
      </c>
      <c r="H319" s="18" t="inlineStr">
        <is>
          <t>Séminaire de recherche</t>
        </is>
      </c>
      <c r="I319" s="17" t="n">
        <v>1</v>
      </c>
      <c r="J319" s="17" t="n">
        <v>2</v>
      </c>
      <c r="K319" s="18" t="inlineStr">
        <is>
          <t>Recherche &amp; méthodologie</t>
        </is>
      </c>
      <c r="L319" s="18" t="inlineStr">
        <is>
          <t>APA|Semestre 2 (M1/S8)|Formation à la recherche</t>
        </is>
      </c>
    </row>
    <row r="320">
      <c r="A320" s="4" t="inlineStr">
        <is>
          <t>APA</t>
        </is>
      </c>
      <c r="B320" s="4" t="inlineStr">
        <is>
          <t>Activités Physiques Adaptées (APA)</t>
        </is>
      </c>
      <c r="C320" s="4" t="inlineStr">
        <is>
          <t>ENSEPS</t>
        </is>
      </c>
      <c r="D320" s="4" t="inlineStr">
        <is>
          <t>Master</t>
        </is>
      </c>
      <c r="E320" s="4" t="inlineStr">
        <is>
          <t>M1</t>
        </is>
      </c>
      <c r="F320" s="4" t="inlineStr">
        <is>
          <t>Semestre 2 (M1/S8)</t>
        </is>
      </c>
      <c r="G320" s="4" t="inlineStr">
        <is>
          <t>Technique d'expression écrite et orale</t>
        </is>
      </c>
      <c r="H320" s="4" t="inlineStr">
        <is>
          <t>Anglais professionnel</t>
        </is>
      </c>
      <c r="I320" s="16" t="n">
        <v>1</v>
      </c>
      <c r="J320" s="16" t="n">
        <v>2</v>
      </c>
      <c r="K320" s="4" t="inlineStr">
        <is>
          <t>Langues &amp; communication</t>
        </is>
      </c>
      <c r="L320" s="4" t="inlineStr">
        <is>
          <t>APA|Semestre 2 (M1/S8)|Technique d'expression écrite et orale</t>
        </is>
      </c>
    </row>
    <row r="321">
      <c r="A321" s="18" t="inlineStr">
        <is>
          <t>APA</t>
        </is>
      </c>
      <c r="B321" s="18" t="inlineStr">
        <is>
          <t>Activités Physiques Adaptées (APA)</t>
        </is>
      </c>
      <c r="C321" s="18" t="inlineStr">
        <is>
          <t>ENSEPS</t>
        </is>
      </c>
      <c r="D321" s="18" t="inlineStr">
        <is>
          <t>Master</t>
        </is>
      </c>
      <c r="E321" s="18" t="inlineStr">
        <is>
          <t>M1</t>
        </is>
      </c>
      <c r="F321" s="18" t="inlineStr">
        <is>
          <t>Semestre 2 (M1/S8)</t>
        </is>
      </c>
      <c r="G321" s="18" t="inlineStr">
        <is>
          <t>Formation administrative</t>
        </is>
      </c>
      <c r="H321" s="18" t="inlineStr">
        <is>
          <t>ECUE 1 : Droits et devoirs du fonctionnaire ; ECUE 2 : Rédaction administrative</t>
        </is>
      </c>
      <c r="I321" s="17" t="n">
        <v>2</v>
      </c>
      <c r="J321" s="17" t="n">
        <v>4</v>
      </c>
      <c r="K321" s="18" t="inlineStr">
        <is>
          <t>Transversal / civique / secourisme</t>
        </is>
      </c>
      <c r="L321" s="18" t="inlineStr">
        <is>
          <t>APA|Semestre 2 (M1/S8)|Formation administrative</t>
        </is>
      </c>
    </row>
    <row r="322">
      <c r="A322" s="4" t="inlineStr">
        <is>
          <t>APA</t>
        </is>
      </c>
      <c r="B322" s="4" t="inlineStr">
        <is>
          <t>Activités Physiques Adaptées (APA)</t>
        </is>
      </c>
      <c r="C322" s="4" t="inlineStr">
        <is>
          <t>ENSEPS</t>
        </is>
      </c>
      <c r="D322" s="4" t="inlineStr">
        <is>
          <t>Master</t>
        </is>
      </c>
      <c r="E322" s="4" t="inlineStr">
        <is>
          <t>M2</t>
        </is>
      </c>
      <c r="F322" s="4" t="inlineStr">
        <is>
          <t>Semestre 3 (M2/S9)</t>
        </is>
      </c>
      <c r="G322" s="4" t="inlineStr">
        <is>
          <t>Professionnalisation</t>
        </is>
      </c>
      <c r="H322" s="4" t="inlineStr">
        <is>
          <t>Stage milieu professionnel</t>
        </is>
      </c>
      <c r="I322" s="16" t="n">
        <v>1</v>
      </c>
      <c r="J322" s="16" t="n">
        <v>15</v>
      </c>
      <c r="K322" s="4" t="inlineStr">
        <is>
          <t>Professionnalisation / stages</t>
        </is>
      </c>
      <c r="L322" s="4" t="inlineStr">
        <is>
          <t>APA|Semestre 3 (M2/S9)|Professionnalisation</t>
        </is>
      </c>
    </row>
    <row r="323">
      <c r="A323" s="18" t="inlineStr">
        <is>
          <t>APA</t>
        </is>
      </c>
      <c r="B323" s="18" t="inlineStr">
        <is>
          <t>Activités Physiques Adaptées (APA)</t>
        </is>
      </c>
      <c r="C323" s="18" t="inlineStr">
        <is>
          <t>ENSEPS</t>
        </is>
      </c>
      <c r="D323" s="18" t="inlineStr">
        <is>
          <t>Master</t>
        </is>
      </c>
      <c r="E323" s="18" t="inlineStr">
        <is>
          <t>M2</t>
        </is>
      </c>
      <c r="F323" s="18" t="inlineStr">
        <is>
          <t>Semestre 3 (M2/S9)</t>
        </is>
      </c>
      <c r="G323" s="18" t="inlineStr">
        <is>
          <t>Formation à la recherche</t>
        </is>
      </c>
      <c r="H323" s="18" t="inlineStr">
        <is>
          <t>Séminaire de recherche 3</t>
        </is>
      </c>
      <c r="I323" s="17" t="n">
        <v>1</v>
      </c>
      <c r="J323" s="17" t="n">
        <v>7</v>
      </c>
      <c r="K323" s="18" t="inlineStr">
        <is>
          <t>Recherche &amp; méthodologie</t>
        </is>
      </c>
      <c r="L323" s="18" t="inlineStr">
        <is>
          <t>APA|Semestre 3 (M2/S9)|Formation à la recherche</t>
        </is>
      </c>
    </row>
    <row r="324">
      <c r="A324" s="4" t="inlineStr">
        <is>
          <t>APA</t>
        </is>
      </c>
      <c r="B324" s="4" t="inlineStr">
        <is>
          <t>Activités Physiques Adaptées (APA)</t>
        </is>
      </c>
      <c r="C324" s="4" t="inlineStr">
        <is>
          <t>ENSEPS</t>
        </is>
      </c>
      <c r="D324" s="4" t="inlineStr">
        <is>
          <t>Master</t>
        </is>
      </c>
      <c r="E324" s="4" t="inlineStr">
        <is>
          <t>M2</t>
        </is>
      </c>
      <c r="F324" s="4" t="inlineStr">
        <is>
          <t>Semestre 3 (M2/S9)</t>
        </is>
      </c>
      <c r="G324" s="4" t="inlineStr">
        <is>
          <t>Méthodologie de la recherche</t>
        </is>
      </c>
      <c r="H324" s="4" t="inlineStr">
        <is>
          <t>ECUE 1 : Méthodologie de la recherche scientifique 3 : analyse des données et discussion ; ECUE 2 : Statistiques descriptives et inférentielles 2</t>
        </is>
      </c>
      <c r="I324" s="16" t="n">
        <v>2</v>
      </c>
      <c r="J324" s="16" t="n">
        <v>8</v>
      </c>
      <c r="K324" s="4" t="inlineStr">
        <is>
          <t>Recherche &amp; méthodologie</t>
        </is>
      </c>
      <c r="L324" s="4" t="inlineStr">
        <is>
          <t>APA|Semestre 3 (M2/S9)|Méthodologie de la recherche</t>
        </is>
      </c>
    </row>
    <row r="325">
      <c r="A325" s="18" t="inlineStr">
        <is>
          <t>APA</t>
        </is>
      </c>
      <c r="B325" s="18" t="inlineStr">
        <is>
          <t>Activités Physiques Adaptées (APA)</t>
        </is>
      </c>
      <c r="C325" s="18" t="inlineStr">
        <is>
          <t>ENSEPS</t>
        </is>
      </c>
      <c r="D325" s="18" t="inlineStr">
        <is>
          <t>Master</t>
        </is>
      </c>
      <c r="E325" s="18" t="inlineStr">
        <is>
          <t>M2</t>
        </is>
      </c>
      <c r="F325" s="18" t="inlineStr">
        <is>
          <t>Semestre 4 (M2/S10)</t>
        </is>
      </c>
      <c r="G325" s="18" t="inlineStr">
        <is>
          <t>Formation à la recherche</t>
        </is>
      </c>
      <c r="H325" s="18" t="inlineStr">
        <is>
          <t>Travaux de recherche : mémoire</t>
        </is>
      </c>
      <c r="I325" s="17" t="n">
        <v>1</v>
      </c>
      <c r="J325" s="17" t="n">
        <v>15</v>
      </c>
      <c r="K325" s="18" t="inlineStr">
        <is>
          <t>Recherche &amp; méthodologie</t>
        </is>
      </c>
      <c r="L325" s="18" t="inlineStr">
        <is>
          <t>APA|Semestre 4 (M2/S10)|Formation à la recherche</t>
        </is>
      </c>
    </row>
    <row r="326">
      <c r="A326" s="4" t="inlineStr">
        <is>
          <t>APA</t>
        </is>
      </c>
      <c r="B326" s="4" t="inlineStr">
        <is>
          <t>Activités Physiques Adaptées (APA)</t>
        </is>
      </c>
      <c r="C326" s="4" t="inlineStr">
        <is>
          <t>ENSEPS</t>
        </is>
      </c>
      <c r="D326" s="4" t="inlineStr">
        <is>
          <t>Master</t>
        </is>
      </c>
      <c r="E326" s="4" t="inlineStr">
        <is>
          <t>M2</t>
        </is>
      </c>
      <c r="F326" s="4" t="inlineStr">
        <is>
          <t>Semestre 4 (M2/S10)</t>
        </is>
      </c>
      <c r="G326" s="4" t="inlineStr">
        <is>
          <t>Formation professionnelle</t>
        </is>
      </c>
      <c r="H326" s="4" t="inlineStr">
        <is>
          <t>Stage milieu professionnel</t>
        </is>
      </c>
      <c r="I326" s="16" t="n">
        <v>1</v>
      </c>
      <c r="J326" s="16" t="n">
        <v>15</v>
      </c>
      <c r="K326" s="4" t="inlineStr">
        <is>
          <t>Professionnalisation / stages</t>
        </is>
      </c>
      <c r="L326" s="4" t="inlineStr">
        <is>
          <t>APA|Semestre 4 (M2/S10)|Formation professionnelle</t>
        </is>
      </c>
    </row>
  </sheetData>
  <autoFilter ref="A3:L3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3" t="inlineStr">
        <is>
          <t>ANALYSES DYNAMIQUES (recalculées automatiquement depuis l'onglet « 8. Base UE »)</t>
        </is>
      </c>
    </row>
    <row r="2">
      <c r="A2" s="29" t="inlineStr">
        <is>
          <t>Équivalent d'un tableau croisé dynamique : modifiez la base et les totaux se mettent à jour. Vous pouvez aussi créer un vrai TCD : Insertion &gt; Tableau croisé dynamique sur la plage de la base.</t>
        </is>
      </c>
    </row>
    <row r="4">
      <c r="A4" s="14" t="inlineStr">
        <is>
          <t>A. Crédits par filière x palier</t>
        </is>
      </c>
    </row>
    <row r="5">
      <c r="A5" s="15" t="inlineStr">
        <is>
          <t>Filière</t>
        </is>
      </c>
      <c r="B5" s="15" t="inlineStr">
        <is>
          <t>Licence</t>
        </is>
      </c>
      <c r="C5" s="15" t="inlineStr">
        <is>
          <t>Master</t>
        </is>
      </c>
      <c r="D5" s="15" t="inlineStr">
        <is>
          <t>Total</t>
        </is>
      </c>
    </row>
    <row r="6">
      <c r="A6" s="4" t="inlineStr">
        <is>
          <t>EM</t>
        </is>
      </c>
      <c r="B6" s="16">
        <f>SUMIFS('8. Base UE (source TCD)'!$J$4:$J$326,'8. Base UE (source TCD)'!$A$4:$A$326,$A6,'8. Base UE (source TCD)'!$D$4:$D$326,"Licence")</f>
        <v/>
      </c>
      <c r="C6" s="16">
        <f>SUMIFS('8. Base UE (source TCD)'!$J$4:$J$326,'8. Base UE (source TCD)'!$A$4:$A$326,$A6,'8. Base UE (source TCD)'!$D$4:$D$326,"Master")</f>
        <v/>
      </c>
      <c r="D6" s="31">
        <f>SUM(B6:C6)</f>
        <v/>
      </c>
    </row>
    <row r="7">
      <c r="A7" s="4" t="inlineStr">
        <is>
          <t>MS</t>
        </is>
      </c>
      <c r="B7" s="16">
        <f>SUMIFS('8. Base UE (source TCD)'!$J$4:$J$326,'8. Base UE (source TCD)'!$A$4:$A$326,$A7,'8. Base UE (source TCD)'!$D$4:$D$326,"Licence")</f>
        <v/>
      </c>
      <c r="C7" s="16">
        <f>SUMIFS('8. Base UE (source TCD)'!$J$4:$J$326,'8. Base UE (source TCD)'!$A$4:$A$326,$A7,'8. Base UE (source TCD)'!$D$4:$D$326,"Master")</f>
        <v/>
      </c>
      <c r="D7" s="31">
        <f>SUM(B7:C7)</f>
        <v/>
      </c>
    </row>
    <row r="8">
      <c r="A8" s="4" t="inlineStr">
        <is>
          <t>ES</t>
        </is>
      </c>
      <c r="B8" s="16">
        <f>SUMIFS('8. Base UE (source TCD)'!$J$4:$J$326,'8. Base UE (source TCD)'!$A$4:$A$326,$A8,'8. Base UE (source TCD)'!$D$4:$D$326,"Licence")</f>
        <v/>
      </c>
      <c r="C8" s="16">
        <f>SUMIFS('8. Base UE (source TCD)'!$J$4:$J$326,'8. Base UE (source TCD)'!$A$4:$A$326,$A8,'8. Base UE (source TCD)'!$D$4:$D$326,"Master")</f>
        <v/>
      </c>
      <c r="D8" s="31">
        <f>SUM(B8:C8)</f>
        <v/>
      </c>
    </row>
    <row r="9">
      <c r="A9" s="4" t="inlineStr">
        <is>
          <t>APA</t>
        </is>
      </c>
      <c r="B9" s="16">
        <f>SUMIFS('8. Base UE (source TCD)'!$J$4:$J$326,'8. Base UE (source TCD)'!$A$4:$A$326,$A9,'8. Base UE (source TCD)'!$D$4:$D$326,"Licence")</f>
        <v/>
      </c>
      <c r="C9" s="16">
        <f>SUMIFS('8. Base UE (source TCD)'!$J$4:$J$326,'8. Base UE (source TCD)'!$A$4:$A$326,$A9,'8. Base UE (source TCD)'!$D$4:$D$326,"Master")</f>
        <v/>
      </c>
      <c r="D9" s="31">
        <f>SUM(B9:C9)</f>
        <v/>
      </c>
    </row>
    <row r="10">
      <c r="A10" s="10" t="inlineStr">
        <is>
          <t>TOTAL</t>
        </is>
      </c>
      <c r="B10" s="32">
        <f>SUM(B6:B9)</f>
        <v/>
      </c>
      <c r="C10" s="32">
        <f>SUM(C6:C9)</f>
        <v/>
      </c>
      <c r="D10" s="32">
        <f>SUM(D6:D9)</f>
        <v/>
      </c>
    </row>
    <row r="12">
      <c r="A12" s="14" t="inlineStr">
        <is>
          <t>B. Nombre d'UE et d'ECUE par filière</t>
        </is>
      </c>
    </row>
    <row r="13">
      <c r="A13" s="15" t="inlineStr">
        <is>
          <t>Filière</t>
        </is>
      </c>
      <c r="B13" s="15" t="inlineStr">
        <is>
          <t>Nb UE</t>
        </is>
      </c>
      <c r="C13" s="15" t="inlineStr">
        <is>
          <t>Nb ECUE</t>
        </is>
      </c>
    </row>
    <row r="14">
      <c r="A14" s="4" t="inlineStr">
        <is>
          <t>EM</t>
        </is>
      </c>
      <c r="B14" s="16">
        <f>COUNTIFS('8. Base UE (source TCD)'!$A$4:$A$326,$A14)</f>
        <v/>
      </c>
      <c r="C14" s="16">
        <f>SUMIFS('8. Base UE (source TCD)'!$I$4:$I$326,'8. Base UE (source TCD)'!$A$4:$A$326,$A14)</f>
        <v/>
      </c>
    </row>
    <row r="15">
      <c r="A15" s="4" t="inlineStr">
        <is>
          <t>MS</t>
        </is>
      </c>
      <c r="B15" s="16">
        <f>COUNTIFS('8. Base UE (source TCD)'!$A$4:$A$326,$A15)</f>
        <v/>
      </c>
      <c r="C15" s="16">
        <f>SUMIFS('8. Base UE (source TCD)'!$I$4:$I$326,'8. Base UE (source TCD)'!$A$4:$A$326,$A15)</f>
        <v/>
      </c>
    </row>
    <row r="16">
      <c r="A16" s="4" t="inlineStr">
        <is>
          <t>ES</t>
        </is>
      </c>
      <c r="B16" s="16">
        <f>COUNTIFS('8. Base UE (source TCD)'!$A$4:$A$326,$A16)</f>
        <v/>
      </c>
      <c r="C16" s="16">
        <f>SUMIFS('8. Base UE (source TCD)'!$I$4:$I$326,'8. Base UE (source TCD)'!$A$4:$A$326,$A16)</f>
        <v/>
      </c>
    </row>
    <row r="17">
      <c r="A17" s="4" t="inlineStr">
        <is>
          <t>APA</t>
        </is>
      </c>
      <c r="B17" s="16">
        <f>COUNTIFS('8. Base UE (source TCD)'!$A$4:$A$326,$A17)</f>
        <v/>
      </c>
      <c r="C17" s="16">
        <f>SUMIFS('8. Base UE (source TCD)'!$I$4:$I$326,'8. Base UE (source TCD)'!$A$4:$A$326,$A17)</f>
        <v/>
      </c>
    </row>
    <row r="19">
      <c r="A19" s="14" t="inlineStr">
        <is>
          <t>C. Crédits par famille de modules x filière (classification indicative)</t>
        </is>
      </c>
    </row>
    <row r="20">
      <c r="A20" s="15" t="inlineStr">
        <is>
          <t>Famille de modules</t>
        </is>
      </c>
      <c r="B20" s="15" t="inlineStr">
        <is>
          <t>EM</t>
        </is>
      </c>
      <c r="C20" s="15" t="inlineStr">
        <is>
          <t>MS</t>
        </is>
      </c>
      <c r="D20" s="15" t="inlineStr">
        <is>
          <t>ES</t>
        </is>
      </c>
      <c r="E20" s="15" t="inlineStr">
        <is>
          <t>APA</t>
        </is>
      </c>
      <c r="F20" s="15" t="inlineStr">
        <is>
          <t>Total</t>
        </is>
      </c>
    </row>
    <row r="21">
      <c r="A21" s="4" t="inlineStr">
        <is>
          <t>Sciences biomédicales</t>
        </is>
      </c>
      <c r="B21" s="16">
        <f>SUMIFS('8. Base UE (source TCD)'!$J$4:$J$326,'8. Base UE (source TCD)'!$K$4:$K$326,$A21,'8. Base UE (source TCD)'!$A$4:$A$326,"EM")</f>
        <v/>
      </c>
      <c r="C21" s="16">
        <f>SUMIFS('8. Base UE (source TCD)'!$J$4:$J$326,'8. Base UE (source TCD)'!$K$4:$K$326,$A21,'8. Base UE (source TCD)'!$A$4:$A$326,"MS")</f>
        <v/>
      </c>
      <c r="D21" s="16">
        <f>SUMIFS('8. Base UE (source TCD)'!$J$4:$J$326,'8. Base UE (source TCD)'!$K$4:$K$326,$A21,'8. Base UE (source TCD)'!$A$4:$A$326,"ES")</f>
        <v/>
      </c>
      <c r="E21" s="16">
        <f>SUMIFS('8. Base UE (source TCD)'!$J$4:$J$326,'8. Base UE (source TCD)'!$K$4:$K$326,$A21,'8. Base UE (source TCD)'!$A$4:$A$326,"APA")</f>
        <v/>
      </c>
      <c r="F21" s="31">
        <f>SUM(B21:E21)</f>
        <v/>
      </c>
    </row>
    <row r="22">
      <c r="A22" s="4" t="inlineStr">
        <is>
          <t>Sciences humaines &amp; sociales</t>
        </is>
      </c>
      <c r="B22" s="16">
        <f>SUMIFS('8. Base UE (source TCD)'!$J$4:$J$326,'8. Base UE (source TCD)'!$K$4:$K$326,$A22,'8. Base UE (source TCD)'!$A$4:$A$326,"EM")</f>
        <v/>
      </c>
      <c r="C22" s="16">
        <f>SUMIFS('8. Base UE (source TCD)'!$J$4:$J$326,'8. Base UE (source TCD)'!$K$4:$K$326,$A22,'8. Base UE (source TCD)'!$A$4:$A$326,"MS")</f>
        <v/>
      </c>
      <c r="D22" s="16">
        <f>SUMIFS('8. Base UE (source TCD)'!$J$4:$J$326,'8. Base UE (source TCD)'!$K$4:$K$326,$A22,'8. Base UE (source TCD)'!$A$4:$A$326,"ES")</f>
        <v/>
      </c>
      <c r="E22" s="16">
        <f>SUMIFS('8. Base UE (source TCD)'!$J$4:$J$326,'8. Base UE (source TCD)'!$K$4:$K$326,$A22,'8. Base UE (source TCD)'!$A$4:$A$326,"APA")</f>
        <v/>
      </c>
      <c r="F22" s="31">
        <f>SUM(B22:E22)</f>
        <v/>
      </c>
    </row>
    <row r="23">
      <c r="A23" s="4" t="inlineStr">
        <is>
          <t>EPS / didactique-pédagogie</t>
        </is>
      </c>
      <c r="B23" s="16">
        <f>SUMIFS('8. Base UE (source TCD)'!$J$4:$J$326,'8. Base UE (source TCD)'!$K$4:$K$326,$A23,'8. Base UE (source TCD)'!$A$4:$A$326,"EM")</f>
        <v/>
      </c>
      <c r="C23" s="16">
        <f>SUMIFS('8. Base UE (source TCD)'!$J$4:$J$326,'8. Base UE (source TCD)'!$K$4:$K$326,$A23,'8. Base UE (source TCD)'!$A$4:$A$326,"MS")</f>
        <v/>
      </c>
      <c r="D23" s="16">
        <f>SUMIFS('8. Base UE (source TCD)'!$J$4:$J$326,'8. Base UE (source TCD)'!$K$4:$K$326,$A23,'8. Base UE (source TCD)'!$A$4:$A$326,"ES")</f>
        <v/>
      </c>
      <c r="E23" s="16">
        <f>SUMIFS('8. Base UE (source TCD)'!$J$4:$J$326,'8. Base UE (source TCD)'!$K$4:$K$326,$A23,'8. Base UE (source TCD)'!$A$4:$A$326,"APA")</f>
        <v/>
      </c>
      <c r="F23" s="31">
        <f>SUM(B23:E23)</f>
        <v/>
      </c>
    </row>
    <row r="24">
      <c r="A24" s="4" t="inlineStr">
        <is>
          <t>Pratiques sportives (APS)</t>
        </is>
      </c>
      <c r="B24" s="16">
        <f>SUMIFS('8. Base UE (source TCD)'!$J$4:$J$326,'8. Base UE (source TCD)'!$K$4:$K$326,$A24,'8. Base UE (source TCD)'!$A$4:$A$326,"EM")</f>
        <v/>
      </c>
      <c r="C24" s="16">
        <f>SUMIFS('8. Base UE (source TCD)'!$J$4:$J$326,'8. Base UE (source TCD)'!$K$4:$K$326,$A24,'8. Base UE (source TCD)'!$A$4:$A$326,"MS")</f>
        <v/>
      </c>
      <c r="D24" s="16">
        <f>SUMIFS('8. Base UE (source TCD)'!$J$4:$J$326,'8. Base UE (source TCD)'!$K$4:$K$326,$A24,'8. Base UE (source TCD)'!$A$4:$A$326,"ES")</f>
        <v/>
      </c>
      <c r="E24" s="16">
        <f>SUMIFS('8. Base UE (source TCD)'!$J$4:$J$326,'8. Base UE (source TCD)'!$K$4:$K$326,$A24,'8. Base UE (source TCD)'!$A$4:$A$326,"APA")</f>
        <v/>
      </c>
      <c r="F24" s="31">
        <f>SUM(B24:E24)</f>
        <v/>
      </c>
    </row>
    <row r="25">
      <c r="A25" s="4" t="inlineStr">
        <is>
          <t>Langues &amp; communication</t>
        </is>
      </c>
      <c r="B25" s="16">
        <f>SUMIFS('8. Base UE (source TCD)'!$J$4:$J$326,'8. Base UE (source TCD)'!$K$4:$K$326,$A25,'8. Base UE (source TCD)'!$A$4:$A$326,"EM")</f>
        <v/>
      </c>
      <c r="C25" s="16">
        <f>SUMIFS('8. Base UE (source TCD)'!$J$4:$J$326,'8. Base UE (source TCD)'!$K$4:$K$326,$A25,'8. Base UE (source TCD)'!$A$4:$A$326,"MS")</f>
        <v/>
      </c>
      <c r="D25" s="16">
        <f>SUMIFS('8. Base UE (source TCD)'!$J$4:$J$326,'8. Base UE (source TCD)'!$K$4:$K$326,$A25,'8. Base UE (source TCD)'!$A$4:$A$326,"ES")</f>
        <v/>
      </c>
      <c r="E25" s="16">
        <f>SUMIFS('8. Base UE (source TCD)'!$J$4:$J$326,'8. Base UE (source TCD)'!$K$4:$K$326,$A25,'8. Base UE (source TCD)'!$A$4:$A$326,"APA")</f>
        <v/>
      </c>
      <c r="F25" s="31">
        <f>SUM(B25:E25)</f>
        <v/>
      </c>
    </row>
    <row r="26">
      <c r="A26" s="4" t="inlineStr">
        <is>
          <t>TIC / bureautique</t>
        </is>
      </c>
      <c r="B26" s="16">
        <f>SUMIFS('8. Base UE (source TCD)'!$J$4:$J$326,'8. Base UE (source TCD)'!$K$4:$K$326,$A26,'8. Base UE (source TCD)'!$A$4:$A$326,"EM")</f>
        <v/>
      </c>
      <c r="C26" s="16">
        <f>SUMIFS('8. Base UE (source TCD)'!$J$4:$J$326,'8. Base UE (source TCD)'!$K$4:$K$326,$A26,'8. Base UE (source TCD)'!$A$4:$A$326,"MS")</f>
        <v/>
      </c>
      <c r="D26" s="16">
        <f>SUMIFS('8. Base UE (source TCD)'!$J$4:$J$326,'8. Base UE (source TCD)'!$K$4:$K$326,$A26,'8. Base UE (source TCD)'!$A$4:$A$326,"ES")</f>
        <v/>
      </c>
      <c r="E26" s="16">
        <f>SUMIFS('8. Base UE (source TCD)'!$J$4:$J$326,'8. Base UE (source TCD)'!$K$4:$K$326,$A26,'8. Base UE (source TCD)'!$A$4:$A$326,"APA")</f>
        <v/>
      </c>
      <c r="F26" s="31">
        <f>SUM(B26:E26)</f>
        <v/>
      </c>
    </row>
    <row r="27">
      <c r="A27" s="4" t="inlineStr">
        <is>
          <t>Professionnalisation / stages</t>
        </is>
      </c>
      <c r="B27" s="16">
        <f>SUMIFS('8. Base UE (source TCD)'!$J$4:$J$326,'8. Base UE (source TCD)'!$K$4:$K$326,$A27,'8. Base UE (source TCD)'!$A$4:$A$326,"EM")</f>
        <v/>
      </c>
      <c r="C27" s="16">
        <f>SUMIFS('8. Base UE (source TCD)'!$J$4:$J$326,'8. Base UE (source TCD)'!$K$4:$K$326,$A27,'8. Base UE (source TCD)'!$A$4:$A$326,"MS")</f>
        <v/>
      </c>
      <c r="D27" s="16">
        <f>SUMIFS('8. Base UE (source TCD)'!$J$4:$J$326,'8. Base UE (source TCD)'!$K$4:$K$326,$A27,'8. Base UE (source TCD)'!$A$4:$A$326,"ES")</f>
        <v/>
      </c>
      <c r="E27" s="16">
        <f>SUMIFS('8. Base UE (source TCD)'!$J$4:$J$326,'8. Base UE (source TCD)'!$K$4:$K$326,$A27,'8. Base UE (source TCD)'!$A$4:$A$326,"APA")</f>
        <v/>
      </c>
      <c r="F27" s="31">
        <f>SUM(B27:E27)</f>
        <v/>
      </c>
    </row>
    <row r="28">
      <c r="A28" s="4" t="inlineStr">
        <is>
          <t>Recherche &amp; méthodologie</t>
        </is>
      </c>
      <c r="B28" s="16">
        <f>SUMIFS('8. Base UE (source TCD)'!$J$4:$J$326,'8. Base UE (source TCD)'!$K$4:$K$326,$A28,'8. Base UE (source TCD)'!$A$4:$A$326,"EM")</f>
        <v/>
      </c>
      <c r="C28" s="16">
        <f>SUMIFS('8. Base UE (source TCD)'!$J$4:$J$326,'8. Base UE (source TCD)'!$K$4:$K$326,$A28,'8. Base UE (source TCD)'!$A$4:$A$326,"MS")</f>
        <v/>
      </c>
      <c r="D28" s="16">
        <f>SUMIFS('8. Base UE (source TCD)'!$J$4:$J$326,'8. Base UE (source TCD)'!$K$4:$K$326,$A28,'8. Base UE (source TCD)'!$A$4:$A$326,"ES")</f>
        <v/>
      </c>
      <c r="E28" s="16">
        <f>SUMIFS('8. Base UE (source TCD)'!$J$4:$J$326,'8. Base UE (source TCD)'!$K$4:$K$326,$A28,'8. Base UE (source TCD)'!$A$4:$A$326,"APA")</f>
        <v/>
      </c>
      <c r="F28" s="31">
        <f>SUM(B28:E28)</f>
        <v/>
      </c>
    </row>
    <row r="29">
      <c r="A29" s="4" t="inlineStr">
        <is>
          <t>Transversal / civique / secourisme</t>
        </is>
      </c>
      <c r="B29" s="16">
        <f>SUMIFS('8. Base UE (source TCD)'!$J$4:$J$326,'8. Base UE (source TCD)'!$K$4:$K$326,$A29,'8. Base UE (source TCD)'!$A$4:$A$326,"EM")</f>
        <v/>
      </c>
      <c r="C29" s="16">
        <f>SUMIFS('8. Base UE (source TCD)'!$J$4:$J$326,'8. Base UE (source TCD)'!$K$4:$K$326,$A29,'8. Base UE (source TCD)'!$A$4:$A$326,"MS")</f>
        <v/>
      </c>
      <c r="D29" s="16">
        <f>SUMIFS('8. Base UE (source TCD)'!$J$4:$J$326,'8. Base UE (source TCD)'!$K$4:$K$326,$A29,'8. Base UE (source TCD)'!$A$4:$A$326,"ES")</f>
        <v/>
      </c>
      <c r="E29" s="16">
        <f>SUMIFS('8. Base UE (source TCD)'!$J$4:$J$326,'8. Base UE (source TCD)'!$K$4:$K$326,$A29,'8. Base UE (source TCD)'!$A$4:$A$326,"APA")</f>
        <v/>
      </c>
      <c r="F29" s="31">
        <f>SUM(B29:E29)</f>
        <v/>
      </c>
    </row>
    <row r="30">
      <c r="A30" s="4" t="inlineStr">
        <is>
          <t>Management / droit / économie</t>
        </is>
      </c>
      <c r="B30" s="16">
        <f>SUMIFS('8. Base UE (source TCD)'!$J$4:$J$326,'8. Base UE (source TCD)'!$K$4:$K$326,$A30,'8. Base UE (source TCD)'!$A$4:$A$326,"EM")</f>
        <v/>
      </c>
      <c r="C30" s="16">
        <f>SUMIFS('8. Base UE (source TCD)'!$J$4:$J$326,'8. Base UE (source TCD)'!$K$4:$K$326,$A30,'8. Base UE (source TCD)'!$A$4:$A$326,"MS")</f>
        <v/>
      </c>
      <c r="D30" s="16">
        <f>SUMIFS('8. Base UE (source TCD)'!$J$4:$J$326,'8. Base UE (source TCD)'!$K$4:$K$326,$A30,'8. Base UE (source TCD)'!$A$4:$A$326,"ES")</f>
        <v/>
      </c>
      <c r="E30" s="16">
        <f>SUMIFS('8. Base UE (source TCD)'!$J$4:$J$326,'8. Base UE (source TCD)'!$K$4:$K$326,$A30,'8. Base UE (source TCD)'!$A$4:$A$326,"APA")</f>
        <v/>
      </c>
      <c r="F30" s="31">
        <f>SUM(B30:E30)</f>
        <v/>
      </c>
    </row>
    <row r="31">
      <c r="A31" s="4" t="inlineStr">
        <is>
          <t>Entraînement sportif</t>
        </is>
      </c>
      <c r="B31" s="16">
        <f>SUMIFS('8. Base UE (source TCD)'!$J$4:$J$326,'8. Base UE (source TCD)'!$K$4:$K$326,$A31,'8. Base UE (source TCD)'!$A$4:$A$326,"EM")</f>
        <v/>
      </c>
      <c r="C31" s="16">
        <f>SUMIFS('8. Base UE (source TCD)'!$J$4:$J$326,'8. Base UE (source TCD)'!$K$4:$K$326,$A31,'8. Base UE (source TCD)'!$A$4:$A$326,"MS")</f>
        <v/>
      </c>
      <c r="D31" s="16">
        <f>SUMIFS('8. Base UE (source TCD)'!$J$4:$J$326,'8. Base UE (source TCD)'!$K$4:$K$326,$A31,'8. Base UE (source TCD)'!$A$4:$A$326,"ES")</f>
        <v/>
      </c>
      <c r="E31" s="16">
        <f>SUMIFS('8. Base UE (source TCD)'!$J$4:$J$326,'8. Base UE (source TCD)'!$K$4:$K$326,$A31,'8. Base UE (source TCD)'!$A$4:$A$326,"APA")</f>
        <v/>
      </c>
      <c r="F31" s="31">
        <f>SUM(B31:E31)</f>
        <v/>
      </c>
    </row>
    <row r="32">
      <c r="A32" s="4" t="inlineStr">
        <is>
          <t>APA (activité physique adaptée)</t>
        </is>
      </c>
      <c r="B32" s="16">
        <f>SUMIFS('8. Base UE (source TCD)'!$J$4:$J$326,'8. Base UE (source TCD)'!$K$4:$K$326,$A32,'8. Base UE (source TCD)'!$A$4:$A$326,"EM")</f>
        <v/>
      </c>
      <c r="C32" s="16">
        <f>SUMIFS('8. Base UE (source TCD)'!$J$4:$J$326,'8. Base UE (source TCD)'!$K$4:$K$326,$A32,'8. Base UE (source TCD)'!$A$4:$A$326,"MS")</f>
        <v/>
      </c>
      <c r="D32" s="16">
        <f>SUMIFS('8. Base UE (source TCD)'!$J$4:$J$326,'8. Base UE (source TCD)'!$K$4:$K$326,$A32,'8. Base UE (source TCD)'!$A$4:$A$326,"ES")</f>
        <v/>
      </c>
      <c r="E32" s="16">
        <f>SUMIFS('8. Base UE (source TCD)'!$J$4:$J$326,'8. Base UE (source TCD)'!$K$4:$K$326,$A32,'8. Base UE (source TCD)'!$A$4:$A$326,"APA")</f>
        <v/>
      </c>
      <c r="F32" s="31">
        <f>SUM(B32:E32)</f>
        <v/>
      </c>
    </row>
    <row r="33">
      <c r="A33" s="10" t="inlineStr">
        <is>
          <t>TOTAL</t>
        </is>
      </c>
      <c r="B33" s="32">
        <f>SUM(B21:B32)</f>
        <v/>
      </c>
      <c r="C33" s="32">
        <f>SUM(C21:C32)</f>
        <v/>
      </c>
      <c r="D33" s="32">
        <f>SUM(D21:D32)</f>
        <v/>
      </c>
      <c r="E33" s="32">
        <f>SUM(E21:E32)</f>
        <v/>
      </c>
      <c r="F33" s="32">
        <f>SUM(F21:F32)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20" t="inlineStr">
        <is>
          <t>Cursus</t>
        </is>
      </c>
      <c r="B1" s="20" t="inlineStr">
        <is>
          <t>École</t>
        </is>
      </c>
      <c r="C1" s="20" t="inlineStr">
        <is>
          <t>Filière</t>
        </is>
      </c>
      <c r="D1" s="20" t="inlineStr">
        <is>
          <t>Sport de spécialité</t>
        </is>
      </c>
      <c r="E1" s="20" t="inlineStr">
        <is>
          <t>Année</t>
        </is>
      </c>
      <c r="F1" s="20" t="inlineStr">
        <is>
          <t>Statut</t>
        </is>
      </c>
      <c r="G1" s="20" t="inlineStr">
        <is>
          <t>Sexe</t>
        </is>
      </c>
      <c r="H1" s="20" t="inlineStr">
        <is>
          <t>Groupe</t>
        </is>
      </c>
      <c r="I1" s="20" t="inlineStr">
        <is>
          <t>Filière (code)</t>
        </is>
      </c>
      <c r="J1" s="20" t="inlineStr">
        <is>
          <t>Semestre</t>
        </is>
      </c>
      <c r="K1" s="20" t="inlineStr">
        <is>
          <t>Type de séance</t>
        </is>
      </c>
    </row>
    <row r="2">
      <c r="A2" t="inlineStr">
        <is>
          <t>Cursus universitaire</t>
        </is>
      </c>
      <c r="B2" t="inlineStr">
        <is>
          <t>ENSEPS</t>
        </is>
      </c>
      <c r="C2" t="inlineStr">
        <is>
          <t>EM - Éducation et Motricité</t>
        </is>
      </c>
      <c r="D2" t="inlineStr">
        <is>
          <t>Football</t>
        </is>
      </c>
      <c r="E2" t="inlineStr">
        <is>
          <t>L1</t>
        </is>
      </c>
      <c r="F2" t="inlineStr">
        <is>
          <t>Pré-inscrit</t>
        </is>
      </c>
      <c r="G2" t="inlineStr">
        <is>
          <t>M</t>
        </is>
      </c>
      <c r="H2" t="inlineStr">
        <is>
          <t>G1</t>
        </is>
      </c>
      <c r="I2" t="inlineStr">
        <is>
          <t>EM</t>
        </is>
      </c>
      <c r="J2" t="inlineStr">
        <is>
          <t>Semestre 1</t>
        </is>
      </c>
      <c r="K2" t="inlineStr">
        <is>
          <t>CM (cours magistral)</t>
        </is>
      </c>
    </row>
    <row r="3">
      <c r="A3" t="inlineStr">
        <is>
          <t>Cycle professionnel</t>
        </is>
      </c>
      <c r="B3" t="inlineStr">
        <is>
          <t>ENSEP</t>
        </is>
      </c>
      <c r="C3" t="inlineStr">
        <is>
          <t>MS - Management du Sport</t>
        </is>
      </c>
      <c r="D3" t="inlineStr">
        <is>
          <t>Handball</t>
        </is>
      </c>
      <c r="E3" t="inlineStr">
        <is>
          <t>L2</t>
        </is>
      </c>
      <c r="F3" t="inlineStr">
        <is>
          <t>Inscrit</t>
        </is>
      </c>
      <c r="G3" t="inlineStr">
        <is>
          <t>F</t>
        </is>
      </c>
      <c r="H3" t="inlineStr">
        <is>
          <t>G2</t>
        </is>
      </c>
      <c r="I3" t="inlineStr">
        <is>
          <t>MS</t>
        </is>
      </c>
      <c r="J3" t="inlineStr">
        <is>
          <t>Semestre 2</t>
        </is>
      </c>
      <c r="K3" t="inlineStr">
        <is>
          <t>TD (travaux dirigés)</t>
        </is>
      </c>
    </row>
    <row r="4">
      <c r="A4" t="inlineStr">
        <is>
          <t>Formation à la carte</t>
        </is>
      </c>
      <c r="C4" t="inlineStr">
        <is>
          <t>ES - Entraînement Sportif</t>
        </is>
      </c>
      <c r="D4" t="inlineStr">
        <is>
          <t>Basketball</t>
        </is>
      </c>
      <c r="E4" t="inlineStr">
        <is>
          <t>L3</t>
        </is>
      </c>
      <c r="F4" t="inlineStr">
        <is>
          <t>En cours</t>
        </is>
      </c>
      <c r="H4" t="inlineStr">
        <is>
          <t>G3</t>
        </is>
      </c>
      <c r="I4" t="inlineStr">
        <is>
          <t>ES</t>
        </is>
      </c>
      <c r="J4" t="inlineStr">
        <is>
          <t>Semestre 3</t>
        </is>
      </c>
      <c r="K4" t="inlineStr">
        <is>
          <t>TP / Pratique APS</t>
        </is>
      </c>
    </row>
    <row r="5">
      <c r="A5" t="inlineStr">
        <is>
          <t>Concours professorat collège</t>
        </is>
      </c>
      <c r="C5" t="inlineStr">
        <is>
          <t>APA - Activités Physiques Adaptées</t>
        </is>
      </c>
      <c r="D5" t="inlineStr">
        <is>
          <t>Rugby</t>
        </is>
      </c>
      <c r="E5" t="inlineStr">
        <is>
          <t>M1</t>
        </is>
      </c>
      <c r="F5" t="inlineStr">
        <is>
          <t>Admis(e)</t>
        </is>
      </c>
      <c r="H5" t="inlineStr">
        <is>
          <t>G4</t>
        </is>
      </c>
      <c r="I5" t="inlineStr">
        <is>
          <t>APA</t>
        </is>
      </c>
      <c r="J5" t="inlineStr">
        <is>
          <t>Semestre 4</t>
        </is>
      </c>
      <c r="K5" t="inlineStr">
        <is>
          <t>Stage</t>
        </is>
      </c>
    </row>
    <row r="6">
      <c r="C6" t="inlineStr">
        <is>
          <t>Andragogie</t>
        </is>
      </c>
      <c r="D6" t="inlineStr">
        <is>
          <t>Volleyball</t>
        </is>
      </c>
      <c r="E6" t="inlineStr">
        <is>
          <t>M2</t>
        </is>
      </c>
      <c r="F6" t="inlineStr">
        <is>
          <t>Redouble</t>
        </is>
      </c>
      <c r="H6" t="inlineStr">
        <is>
          <t>G5</t>
        </is>
      </c>
      <c r="J6" t="inlineStr">
        <is>
          <t>Semestre 5</t>
        </is>
      </c>
      <c r="K6" t="inlineStr">
        <is>
          <t>Évaluation</t>
        </is>
      </c>
    </row>
    <row r="7">
      <c r="C7" t="inlineStr">
        <is>
          <t>Loisir</t>
        </is>
      </c>
      <c r="D7" t="inlineStr">
        <is>
          <t>Athlétisme</t>
        </is>
      </c>
      <c r="E7" t="inlineStr">
        <is>
          <t>Année 1 (cycle pro)</t>
        </is>
      </c>
      <c r="F7" t="inlineStr">
        <is>
          <t>Ajourné(e)</t>
        </is>
      </c>
      <c r="H7" t="inlineStr">
        <is>
          <t>G6</t>
        </is>
      </c>
      <c r="J7" t="inlineStr">
        <is>
          <t>Semestre 6</t>
        </is>
      </c>
      <c r="K7" t="inlineStr">
        <is>
          <t>Séminaire de recherche</t>
        </is>
      </c>
    </row>
    <row r="8">
      <c r="C8" t="inlineStr">
        <is>
          <t>ECJP - Entrepreneuriat Jeunesse et Conduite de Projets</t>
        </is>
      </c>
      <c r="D8" t="inlineStr">
        <is>
          <t>Judo</t>
        </is>
      </c>
      <c r="E8" t="inlineStr">
        <is>
          <t>Année 2 (cycle pro)</t>
        </is>
      </c>
      <c r="F8" t="inlineStr">
        <is>
          <t>Exclu(e)</t>
        </is>
      </c>
      <c r="J8" t="inlineStr">
        <is>
          <t>Semestre 1 (M1/S7)</t>
        </is>
      </c>
      <c r="K8" t="inlineStr">
        <is>
          <t>Autre</t>
        </is>
      </c>
    </row>
    <row r="9">
      <c r="C9" t="inlineStr">
        <is>
          <t>Gérontologie</t>
        </is>
      </c>
      <c r="D9" t="inlineStr">
        <is>
          <t>Lutte</t>
        </is>
      </c>
      <c r="E9" t="inlineStr">
        <is>
          <t>Autre</t>
        </is>
      </c>
      <c r="F9" t="inlineStr">
        <is>
          <t>Diplômé(e)</t>
        </is>
      </c>
      <c r="J9" t="inlineStr">
        <is>
          <t>Semestre 2 (M1/S8)</t>
        </is>
      </c>
    </row>
    <row r="10">
      <c r="C10" t="inlineStr">
        <is>
          <t>PC-EPS</t>
        </is>
      </c>
      <c r="D10" t="inlineStr">
        <is>
          <t>Boxe</t>
        </is>
      </c>
      <c r="F10" t="inlineStr">
        <is>
          <t>Abandon</t>
        </is>
      </c>
      <c r="J10" t="inlineStr">
        <is>
          <t>Semestre 3 (M2/S9)</t>
        </is>
      </c>
    </row>
    <row r="11">
      <c r="C11" t="inlineStr">
        <is>
          <t>PC-EP</t>
        </is>
      </c>
      <c r="D11" t="inlineStr">
        <is>
          <t>Taekwondo</t>
        </is>
      </c>
      <c r="J11" t="inlineStr">
        <is>
          <t>Semestre 4 (M2/S10)</t>
        </is>
      </c>
    </row>
    <row r="12">
      <c r="C12" t="inlineStr">
        <is>
          <t>PC-EP-ENT</t>
        </is>
      </c>
      <c r="D12" t="inlineStr">
        <is>
          <t>Natation</t>
        </is>
      </c>
    </row>
    <row r="13">
      <c r="C13" t="inlineStr">
        <is>
          <t>PC-PS</t>
        </is>
      </c>
      <c r="D13" t="inlineStr">
        <is>
          <t>Gymnastique</t>
        </is>
      </c>
    </row>
    <row r="14">
      <c r="C14" t="inlineStr">
        <is>
          <t>Maîtrise d'EPS</t>
        </is>
      </c>
      <c r="D14" t="inlineStr">
        <is>
          <t>Fitness</t>
        </is>
      </c>
    </row>
    <row r="15">
      <c r="C15" t="inlineStr">
        <is>
          <t>Conseillat d'EPS</t>
        </is>
      </c>
    </row>
    <row r="16">
      <c r="C16" t="inlineStr">
        <is>
          <t>Professorat professionnel d'EPS</t>
        </is>
      </c>
    </row>
    <row r="17">
      <c r="C17" t="inlineStr">
        <is>
          <t>Inspectorat J&amp;S</t>
        </is>
      </c>
    </row>
    <row r="18">
      <c r="C18" t="inlineStr">
        <is>
          <t>Inspectorat pédagogique</t>
        </is>
      </c>
    </row>
    <row r="19">
      <c r="C19" t="inlineStr">
        <is>
          <t>Agrégation</t>
        </is>
      </c>
    </row>
    <row r="20">
      <c r="C20" t="inlineStr">
        <is>
          <t>Maîtrise adjointe d'EP</t>
        </is>
      </c>
    </row>
    <row r="21">
      <c r="C21" t="inlineStr">
        <is>
          <t>Maîtrise d'EP</t>
        </is>
      </c>
    </row>
    <row r="22">
      <c r="C22" t="inlineStr">
        <is>
          <t>Conseillat d'EP</t>
        </is>
      </c>
    </row>
    <row r="23">
      <c r="C23" t="inlineStr">
        <is>
          <t>Professorat professionnel d'EP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15" customWidth="1" min="5" max="5"/>
    <col width="7" customWidth="1" min="6" max="6"/>
    <col width="14" customWidth="1" min="7" max="7"/>
    <col width="15" customWidth="1" min="8" max="8"/>
    <col width="26" customWidth="1" min="9" max="9"/>
    <col width="22" customWidth="1" min="10" max="10"/>
    <col width="10" customWidth="1" min="11" max="11"/>
    <col width="34" customWidth="1" min="12" max="12"/>
    <col width="16" customWidth="1" min="13" max="13"/>
    <col width="10" customWidth="1" min="14" max="14"/>
    <col width="8" customWidth="1" min="15" max="15"/>
    <col width="18" customWidth="1" min="16" max="16"/>
    <col width="12" customWidth="1" min="17" max="17"/>
    <col width="30" customWidth="1" min="18" max="18"/>
  </cols>
  <sheetData>
    <row r="1">
      <c r="A1" s="13" t="inlineStr">
        <is>
          <t>FORMULAIRE DE SUIVI DES INSCRIPTIONS / SCOLARITÉ — INJS (modèle prêt à l'emploi)</t>
        </is>
      </c>
    </row>
    <row r="2">
      <c r="A2" s="29" t="inlineStr">
        <is>
          <t>Colonnes avec listes déroulantes pré-configurées. Dupliquez les lignes selon vos besoins. Le code matricule suggéré : INJS-ANNEE-FILIERE-N°ordre (ex. INJS-2026-EM-001).</t>
        </is>
      </c>
    </row>
    <row r="4">
      <c r="A4" s="15" t="inlineStr">
        <is>
          <t>N°</t>
        </is>
      </c>
      <c r="B4" s="15" t="inlineStr">
        <is>
          <t>Matricule</t>
        </is>
      </c>
      <c r="C4" s="15" t="inlineStr">
        <is>
          <t>Nom</t>
        </is>
      </c>
      <c r="D4" s="15" t="inlineStr">
        <is>
          <t>Prénoms</t>
        </is>
      </c>
      <c r="E4" s="15" t="inlineStr">
        <is>
          <t>Date de naissance</t>
        </is>
      </c>
      <c r="F4" s="15" t="inlineStr">
        <is>
          <t>Sexe</t>
        </is>
      </c>
      <c r="G4" s="15" t="inlineStr">
        <is>
          <t>Nationalité</t>
        </is>
      </c>
      <c r="H4" s="15" t="inlineStr">
        <is>
          <t>Téléphone</t>
        </is>
      </c>
      <c r="I4" s="15" t="inlineStr">
        <is>
          <t>Email</t>
        </is>
      </c>
      <c r="J4" s="15" t="inlineStr">
        <is>
          <t>Cursus</t>
        </is>
      </c>
      <c r="K4" s="15" t="inlineStr">
        <is>
          <t>École</t>
        </is>
      </c>
      <c r="L4" s="15" t="inlineStr">
        <is>
          <t>Filière</t>
        </is>
      </c>
      <c r="M4" s="15" t="inlineStr">
        <is>
          <t>Sport de spécialité</t>
        </is>
      </c>
      <c r="N4" s="15" t="inlineStr">
        <is>
          <t>Année</t>
        </is>
      </c>
      <c r="O4" s="15" t="inlineStr">
        <is>
          <t>Groupe</t>
        </is>
      </c>
      <c r="P4" s="15" t="inlineStr">
        <is>
          <t>Contact parent/tuteur</t>
        </is>
      </c>
      <c r="Q4" s="15" t="inlineStr">
        <is>
          <t>Statut</t>
        </is>
      </c>
      <c r="R4" s="15" t="inlineStr">
        <is>
          <t>Observations</t>
        </is>
      </c>
    </row>
    <row r="5">
      <c r="A5" s="16" t="n">
        <v>1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16" t="n">
        <v>2</v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</row>
    <row r="7">
      <c r="A7" s="16" t="n">
        <v>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16" t="n">
        <v>4</v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</row>
    <row r="9">
      <c r="A9" s="16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16" t="n">
        <v>6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</row>
    <row r="11">
      <c r="A11" s="16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16" t="n">
        <v>8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</row>
    <row r="13">
      <c r="A13" s="16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16" t="n">
        <v>10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</row>
    <row r="15">
      <c r="A15" s="16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16" t="n">
        <v>12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</row>
    <row r="17">
      <c r="A17" s="16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16" t="n">
        <v>14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</row>
    <row r="19">
      <c r="A19" s="16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16" t="n">
        <v>16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</row>
    <row r="21">
      <c r="A21" s="16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16" t="n">
        <v>18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</row>
    <row r="23">
      <c r="A23" s="16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16" t="n">
        <v>20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</row>
    <row r="25">
      <c r="A25" s="16" t="n">
        <v>21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16" t="n">
        <v>22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</row>
    <row r="27">
      <c r="A27" s="16" t="n">
        <v>23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</row>
    <row r="28">
      <c r="A28" s="16" t="n">
        <v>24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</row>
    <row r="29">
      <c r="A29" s="16" t="n">
        <v>25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</row>
    <row r="30">
      <c r="A30" s="16" t="n">
        <v>26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</row>
    <row r="31">
      <c r="A31" s="16" t="n">
        <v>27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</row>
    <row r="32">
      <c r="A32" s="16" t="n">
        <v>28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</row>
    <row r="33">
      <c r="A33" s="16" t="n">
        <v>29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</row>
    <row r="34">
      <c r="A34" s="16" t="n">
        <v>30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</row>
    <row r="35">
      <c r="A35" s="16" t="n">
        <v>31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</row>
    <row r="36">
      <c r="A36" s="16" t="n">
        <v>32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</row>
    <row r="37">
      <c r="A37" s="16" t="n">
        <v>33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</row>
    <row r="38">
      <c r="A38" s="16" t="n">
        <v>34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</row>
    <row r="39">
      <c r="A39" s="16" t="n">
        <v>35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</row>
    <row r="40">
      <c r="A40" s="16" t="n">
        <v>36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</row>
    <row r="41">
      <c r="A41" s="16" t="n">
        <v>37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</row>
    <row r="42">
      <c r="A42" s="16" t="n">
        <v>38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</row>
    <row r="43">
      <c r="A43" s="16" t="n">
        <v>39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>
      <c r="A44" s="16" t="n">
        <v>40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</row>
    <row r="45">
      <c r="A45" s="16" t="n">
        <v>41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>
      <c r="A46" s="16" t="n">
        <v>42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</row>
    <row r="47">
      <c r="A47" s="16" t="n">
        <v>43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</row>
    <row r="48">
      <c r="A48" s="16" t="n">
        <v>44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</row>
    <row r="49">
      <c r="A49" s="16" t="n">
        <v>45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</row>
    <row r="50">
      <c r="A50" s="16" t="n">
        <v>46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</row>
    <row r="51">
      <c r="A51" s="16" t="n">
        <v>47</v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</row>
    <row r="52">
      <c r="A52" s="16" t="n">
        <v>48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</row>
    <row r="53">
      <c r="A53" s="16" t="n">
        <v>49</v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</row>
    <row r="54">
      <c r="A54" s="16" t="n">
        <v>50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</row>
    <row r="55">
      <c r="A55" s="16" t="n">
        <v>51</v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>
      <c r="A56" s="16" t="n">
        <v>52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</row>
    <row r="57">
      <c r="A57" s="16" t="n">
        <v>53</v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</row>
    <row r="58">
      <c r="A58" s="16" t="n">
        <v>54</v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</row>
    <row r="59">
      <c r="A59" s="16" t="n">
        <v>55</v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</row>
    <row r="60">
      <c r="A60" s="16" t="n">
        <v>56</v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</row>
    <row r="61">
      <c r="A61" s="16" t="n">
        <v>57</v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</row>
    <row r="62">
      <c r="A62" s="16" t="n">
        <v>58</v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</row>
    <row r="63">
      <c r="A63" s="16" t="n">
        <v>59</v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</row>
    <row r="64">
      <c r="A64" s="16" t="n">
        <v>60</v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</row>
    <row r="65">
      <c r="A65" s="16" t="n">
        <v>61</v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</row>
    <row r="66">
      <c r="A66" s="16" t="n">
        <v>62</v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</row>
    <row r="67">
      <c r="A67" s="16" t="n">
        <v>63</v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</row>
    <row r="68">
      <c r="A68" s="16" t="n">
        <v>64</v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</row>
    <row r="69">
      <c r="A69" s="16" t="n">
        <v>65</v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</row>
    <row r="70">
      <c r="A70" s="16" t="n">
        <v>66</v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</row>
    <row r="71">
      <c r="A71" s="16" t="n">
        <v>67</v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</row>
    <row r="72">
      <c r="A72" s="16" t="n">
        <v>68</v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</row>
    <row r="73">
      <c r="A73" s="16" t="n">
        <v>69</v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</row>
    <row r="74">
      <c r="A74" s="16" t="n">
        <v>70</v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</row>
    <row r="75">
      <c r="A75" s="16" t="n">
        <v>71</v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</row>
    <row r="76">
      <c r="A76" s="16" t="n">
        <v>72</v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</row>
    <row r="77">
      <c r="A77" s="16" t="n">
        <v>73</v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</row>
    <row r="78">
      <c r="A78" s="16" t="n">
        <v>74</v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</row>
    <row r="79">
      <c r="A79" s="16" t="n">
        <v>75</v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</row>
    <row r="80">
      <c r="A80" s="16" t="n">
        <v>76</v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</row>
    <row r="81">
      <c r="A81" s="16" t="n">
        <v>77</v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</row>
    <row r="82">
      <c r="A82" s="16" t="n">
        <v>78</v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</row>
    <row r="83">
      <c r="A83" s="16" t="n">
        <v>79</v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</row>
    <row r="84">
      <c r="A84" s="16" t="n">
        <v>80</v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</row>
    <row r="85">
      <c r="A85" s="16" t="n">
        <v>81</v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</row>
    <row r="86">
      <c r="A86" s="16" t="n">
        <v>82</v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</row>
    <row r="87">
      <c r="A87" s="16" t="n">
        <v>83</v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</row>
    <row r="88">
      <c r="A88" s="16" t="n">
        <v>84</v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</row>
    <row r="89">
      <c r="A89" s="16" t="n">
        <v>85</v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</row>
    <row r="90">
      <c r="A90" s="16" t="n">
        <v>86</v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</row>
    <row r="91">
      <c r="A91" s="16" t="n">
        <v>87</v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</row>
    <row r="92">
      <c r="A92" s="16" t="n">
        <v>88</v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</row>
    <row r="93">
      <c r="A93" s="16" t="n">
        <v>89</v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</row>
    <row r="94">
      <c r="A94" s="16" t="n">
        <v>90</v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</row>
    <row r="95">
      <c r="A95" s="16" t="n">
        <v>91</v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</row>
    <row r="96">
      <c r="A96" s="16" t="n">
        <v>92</v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</row>
    <row r="97">
      <c r="A97" s="16" t="n">
        <v>93</v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</row>
    <row r="98">
      <c r="A98" s="16" t="n">
        <v>94</v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</row>
    <row r="99">
      <c r="A99" s="16" t="n">
        <v>95</v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</row>
    <row r="100">
      <c r="A100" s="16" t="n">
        <v>96</v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</row>
    <row r="101">
      <c r="A101" s="16" t="n">
        <v>97</v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</row>
    <row r="102">
      <c r="A102" s="16" t="n">
        <v>98</v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</row>
    <row r="103">
      <c r="A103" s="16" t="n">
        <v>99</v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</row>
    <row r="104">
      <c r="A104" s="16" t="n">
        <v>100</v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</row>
    <row r="105">
      <c r="A105" s="16" t="n">
        <v>101</v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</row>
    <row r="106">
      <c r="A106" s="16" t="n">
        <v>102</v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</row>
    <row r="107">
      <c r="A107" s="16" t="n">
        <v>103</v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</row>
    <row r="108">
      <c r="A108" s="16" t="n">
        <v>104</v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</row>
    <row r="109">
      <c r="A109" s="16" t="n">
        <v>105</v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</row>
    <row r="110">
      <c r="A110" s="16" t="n">
        <v>106</v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</row>
    <row r="111">
      <c r="A111" s="16" t="n">
        <v>107</v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</row>
    <row r="112">
      <c r="A112" s="16" t="n">
        <v>108</v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</row>
    <row r="113">
      <c r="A113" s="16" t="n">
        <v>109</v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</row>
    <row r="114">
      <c r="A114" s="16" t="n">
        <v>110</v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</row>
    <row r="115">
      <c r="A115" s="16" t="n">
        <v>111</v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</row>
    <row r="116">
      <c r="A116" s="16" t="n">
        <v>112</v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</row>
    <row r="117">
      <c r="A117" s="16" t="n">
        <v>113</v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</row>
    <row r="118">
      <c r="A118" s="16" t="n">
        <v>114</v>
      </c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</row>
    <row r="119">
      <c r="A119" s="16" t="n">
        <v>115</v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</row>
    <row r="120">
      <c r="A120" s="16" t="n">
        <v>116</v>
      </c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</row>
    <row r="121">
      <c r="A121" s="16" t="n">
        <v>117</v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</row>
    <row r="122">
      <c r="A122" s="16" t="n">
        <v>118</v>
      </c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</row>
    <row r="123">
      <c r="A123" s="16" t="n">
        <v>119</v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</row>
    <row r="124">
      <c r="A124" s="16" t="n">
        <v>120</v>
      </c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</row>
    <row r="125">
      <c r="A125" s="16" t="n">
        <v>121</v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</row>
    <row r="126">
      <c r="A126" s="16" t="n">
        <v>122</v>
      </c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</row>
    <row r="127">
      <c r="A127" s="16" t="n">
        <v>123</v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</row>
    <row r="128">
      <c r="A128" s="16" t="n">
        <v>124</v>
      </c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</row>
    <row r="129">
      <c r="A129" s="16" t="n">
        <v>125</v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</row>
    <row r="130">
      <c r="A130" s="16" t="n">
        <v>126</v>
      </c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</row>
    <row r="131">
      <c r="A131" s="16" t="n">
        <v>127</v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</row>
    <row r="132">
      <c r="A132" s="16" t="n">
        <v>128</v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</row>
    <row r="133">
      <c r="A133" s="16" t="n">
        <v>129</v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</row>
    <row r="134">
      <c r="A134" s="16" t="n">
        <v>130</v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</row>
    <row r="135">
      <c r="A135" s="16" t="n">
        <v>131</v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</row>
    <row r="136">
      <c r="A136" s="16" t="n">
        <v>132</v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</row>
    <row r="137">
      <c r="A137" s="16" t="n">
        <v>133</v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</row>
    <row r="138">
      <c r="A138" s="16" t="n">
        <v>134</v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</row>
    <row r="139">
      <c r="A139" s="16" t="n">
        <v>135</v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</row>
    <row r="140">
      <c r="A140" s="16" t="n">
        <v>136</v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</row>
    <row r="141">
      <c r="A141" s="16" t="n">
        <v>137</v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</row>
    <row r="142">
      <c r="A142" s="16" t="n">
        <v>138</v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</row>
    <row r="143">
      <c r="A143" s="16" t="n">
        <v>139</v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</row>
    <row r="144">
      <c r="A144" s="16" t="n">
        <v>140</v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</row>
    <row r="145">
      <c r="A145" s="16" t="n">
        <v>141</v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</row>
    <row r="146">
      <c r="A146" s="16" t="n">
        <v>142</v>
      </c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</row>
    <row r="147">
      <c r="A147" s="16" t="n">
        <v>143</v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</row>
    <row r="148">
      <c r="A148" s="16" t="n">
        <v>144</v>
      </c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</row>
    <row r="149">
      <c r="A149" s="16" t="n">
        <v>145</v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</row>
    <row r="150">
      <c r="A150" s="16" t="n">
        <v>146</v>
      </c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</row>
    <row r="151">
      <c r="A151" s="16" t="n">
        <v>147</v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</row>
    <row r="152">
      <c r="A152" s="16" t="n">
        <v>148</v>
      </c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</row>
    <row r="153">
      <c r="A153" s="16" t="n">
        <v>149</v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</row>
    <row r="154">
      <c r="A154" s="16" t="n">
        <v>150</v>
      </c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</row>
    <row r="155">
      <c r="A155" s="16" t="n">
        <v>151</v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</row>
    <row r="156">
      <c r="A156" s="16" t="n">
        <v>152</v>
      </c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</row>
    <row r="157">
      <c r="A157" s="16" t="n">
        <v>153</v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</row>
    <row r="158">
      <c r="A158" s="16" t="n">
        <v>154</v>
      </c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</row>
    <row r="159">
      <c r="A159" s="16" t="n">
        <v>155</v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</row>
    <row r="160">
      <c r="A160" s="16" t="n">
        <v>156</v>
      </c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</row>
    <row r="161">
      <c r="A161" s="16" t="n">
        <v>157</v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</row>
    <row r="162">
      <c r="A162" s="16" t="n">
        <v>158</v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</row>
    <row r="163">
      <c r="A163" s="16" t="n">
        <v>159</v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</row>
    <row r="164">
      <c r="A164" s="16" t="n">
        <v>160</v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</row>
    <row r="165">
      <c r="A165" s="16" t="n">
        <v>161</v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</row>
    <row r="166">
      <c r="A166" s="16" t="n">
        <v>162</v>
      </c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</row>
    <row r="167">
      <c r="A167" s="16" t="n">
        <v>163</v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</row>
    <row r="168">
      <c r="A168" s="16" t="n">
        <v>164</v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</row>
    <row r="169">
      <c r="A169" s="16" t="n">
        <v>165</v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</row>
    <row r="170">
      <c r="A170" s="16" t="n">
        <v>166</v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</row>
    <row r="171">
      <c r="A171" s="16" t="n">
        <v>167</v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</row>
    <row r="172">
      <c r="A172" s="16" t="n">
        <v>168</v>
      </c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</row>
    <row r="173">
      <c r="A173" s="16" t="n">
        <v>169</v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</row>
    <row r="174">
      <c r="A174" s="16" t="n">
        <v>170</v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</row>
    <row r="175">
      <c r="A175" s="16" t="n">
        <v>171</v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</row>
    <row r="176">
      <c r="A176" s="16" t="n">
        <v>172</v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</row>
    <row r="177">
      <c r="A177" s="16" t="n">
        <v>173</v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</row>
    <row r="178">
      <c r="A178" s="16" t="n">
        <v>174</v>
      </c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</row>
    <row r="179">
      <c r="A179" s="16" t="n">
        <v>175</v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</row>
    <row r="180">
      <c r="A180" s="16" t="n">
        <v>176</v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</row>
    <row r="181">
      <c r="A181" s="16" t="n">
        <v>177</v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</row>
    <row r="182">
      <c r="A182" s="16" t="n">
        <v>178</v>
      </c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</row>
    <row r="183">
      <c r="A183" s="16" t="n">
        <v>179</v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</row>
    <row r="184">
      <c r="A184" s="16" t="n">
        <v>180</v>
      </c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</row>
    <row r="185">
      <c r="A185" s="16" t="n">
        <v>181</v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</row>
    <row r="186">
      <c r="A186" s="16" t="n">
        <v>182</v>
      </c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</row>
    <row r="187">
      <c r="A187" s="16" t="n">
        <v>183</v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</row>
    <row r="188">
      <c r="A188" s="16" t="n">
        <v>184</v>
      </c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</row>
    <row r="189">
      <c r="A189" s="16" t="n">
        <v>185</v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</row>
    <row r="190">
      <c r="A190" s="16" t="n">
        <v>186</v>
      </c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</row>
    <row r="191">
      <c r="A191" s="16" t="n">
        <v>187</v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</row>
    <row r="192">
      <c r="A192" s="16" t="n">
        <v>188</v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</row>
    <row r="193">
      <c r="A193" s="16" t="n">
        <v>189</v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</row>
    <row r="194">
      <c r="A194" s="16" t="n">
        <v>190</v>
      </c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</row>
    <row r="195">
      <c r="A195" s="16" t="n">
        <v>191</v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</row>
    <row r="196">
      <c r="A196" s="16" t="n">
        <v>192</v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</row>
    <row r="197">
      <c r="A197" s="16" t="n">
        <v>193</v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</row>
    <row r="198">
      <c r="A198" s="16" t="n">
        <v>194</v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</row>
    <row r="199">
      <c r="A199" s="16" t="n">
        <v>195</v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</row>
    <row r="200">
      <c r="A200" s="16" t="n">
        <v>196</v>
      </c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</row>
    <row r="201">
      <c r="A201" s="16" t="n">
        <v>197</v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</row>
    <row r="202">
      <c r="A202" s="16" t="n">
        <v>198</v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</row>
    <row r="203">
      <c r="A203" s="16" t="n">
        <v>199</v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</row>
    <row r="204">
      <c r="A204" s="16" t="n">
        <v>200</v>
      </c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</row>
  </sheetData>
  <autoFilter ref="A4:R204"/>
  <conditionalFormatting sqref="Q5:Q204">
    <cfRule type="expression" priority="1" dxfId="0">
      <formula>$Q5="Admis(e)"</formula>
    </cfRule>
    <cfRule type="expression" priority="2" dxfId="0">
      <formula>$Q5="Diplômé(e)"</formula>
    </cfRule>
    <cfRule type="expression" priority="3" dxfId="1">
      <formula>$Q5="Ajourné(e)"</formula>
    </cfRule>
    <cfRule type="expression" priority="4" dxfId="1">
      <formula>$Q5="Exclu(e)"</formula>
    </cfRule>
    <cfRule type="expression" priority="5" dxfId="2">
      <formula>$Q5="Redouble"</formula>
    </cfRule>
  </conditionalFormatting>
  <dataValidations count="8">
    <dataValidation sqref="F5:F204" showDropDown="0" showInputMessage="0" showErrorMessage="0" allowBlank="1" errorTitle="Valeur non valide" error="Choisissez une valeur dans la liste" type="list">
      <formula1>=Listes!$G$2:$G$3</formula1>
    </dataValidation>
    <dataValidation sqref="J5:J204" showDropDown="0" showInputMessage="0" showErrorMessage="0" allowBlank="1" errorTitle="Valeur non valide" error="Choisissez une valeur dans la liste" type="list">
      <formula1>=Listes!$A$2:$A$5</formula1>
    </dataValidation>
    <dataValidation sqref="K5:K204" showDropDown="0" showInputMessage="0" showErrorMessage="0" allowBlank="1" errorTitle="Valeur non valide" error="Choisissez une valeur dans la liste" type="list">
      <formula1>=Listes!$B$2:$B$3</formula1>
    </dataValidation>
    <dataValidation sqref="L5:L204" showDropDown="0" showInputMessage="0" showErrorMessage="0" allowBlank="1" errorTitle="Valeur non valide" error="Choisissez une valeur dans la liste" type="list">
      <formula1>=Listes!$C$2:$C$23</formula1>
    </dataValidation>
    <dataValidation sqref="M5:M204" showDropDown="0" showInputMessage="0" showErrorMessage="0" allowBlank="1" errorTitle="Valeur non valide" error="Choisissez une valeur dans la liste" type="list">
      <formula1>=Listes!$D$2:$D$14</formula1>
    </dataValidation>
    <dataValidation sqref="N5:N204" showDropDown="0" showInputMessage="0" showErrorMessage="0" allowBlank="1" errorTitle="Valeur non valide" error="Choisissez une valeur dans la liste" type="list">
      <formula1>=Listes!$E$2:$E$9</formula1>
    </dataValidation>
    <dataValidation sqref="O5:O204" showDropDown="0" showInputMessage="0" showErrorMessage="0" allowBlank="1" errorTitle="Valeur non valide" error="Choisissez une valeur dans la liste" type="list">
      <formula1>=Listes!$H$2:$H$7</formula1>
    </dataValidation>
    <dataValidation sqref="Q5:Q204" showDropDown="0" showInputMessage="0" showErrorMessage="0" allowBlank="1" errorTitle="Valeur non valide" error="Choisissez une valeur dans la liste" type="list">
      <formula1>=Listes!$F$2:$F$10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9" customWidth="1" min="5" max="5"/>
    <col width="16" customWidth="1" min="6" max="6"/>
    <col width="42" customWidth="1" min="7" max="7"/>
    <col hidden="1" width="0.5" customWidth="1" min="8" max="8"/>
    <col width="9" customWidth="1" min="9" max="9"/>
    <col width="10" customWidth="1" min="10" max="10"/>
    <col width="11" customWidth="1" min="11" max="11"/>
    <col width="12" customWidth="1" min="12" max="12"/>
    <col width="12" customWidth="1" min="13" max="13"/>
  </cols>
  <sheetData>
    <row r="1">
      <c r="A1" s="13" t="inlineStr">
        <is>
          <t>SUIVI DES NOTES ET MOYENNES PAR UE — saisie longue (1 ligne = 1 étudiant × 1 UE)</t>
        </is>
      </c>
    </row>
    <row r="2">
      <c r="A2" s="29" t="inlineStr">
        <is>
          <t>Filière / Semestre / UE : listes déroulantes. Les crédits de l'UE se remplissent automatiquement (recherche dans la base officielle). Pondération CC/Examen paramétrable ci-dessous (à ajuster selon le règlement des études de l'INJS).</t>
        </is>
      </c>
      <c r="E2" s="33" t="inlineStr">
        <is>
          <t>Poids contrôle continu :</t>
        </is>
      </c>
      <c r="F2" s="34" t="n">
        <v>0.4</v>
      </c>
      <c r="H2" s="33" t="inlineStr">
        <is>
          <t>Poids examen :</t>
        </is>
      </c>
      <c r="I2" s="34" t="n">
        <v>0.6</v>
      </c>
    </row>
    <row r="4">
      <c r="A4" s="15" t="inlineStr">
        <is>
          <t>N°</t>
        </is>
      </c>
      <c r="B4" s="15" t="inlineStr">
        <is>
          <t>Matricule</t>
        </is>
      </c>
      <c r="C4" s="15" t="inlineStr">
        <is>
          <t>Nom</t>
        </is>
      </c>
      <c r="D4" s="15" t="inlineStr">
        <is>
          <t>Prénoms</t>
        </is>
      </c>
      <c r="E4" s="15" t="inlineStr">
        <is>
          <t>Filière</t>
        </is>
      </c>
      <c r="F4" s="15" t="inlineStr">
        <is>
          <t>Semestre</t>
        </is>
      </c>
      <c r="G4" s="15" t="inlineStr">
        <is>
          <t>UE</t>
        </is>
      </c>
      <c r="H4" s="15" t="inlineStr">
        <is>
          <t>Clé (auto)</t>
        </is>
      </c>
      <c r="I4" s="15" t="inlineStr">
        <is>
          <t>Crédits (auto)</t>
        </is>
      </c>
      <c r="J4" s="15" t="inlineStr">
        <is>
          <t>Note CC /20</t>
        </is>
      </c>
      <c r="K4" s="15" t="inlineStr">
        <is>
          <t>Note Examen /20</t>
        </is>
      </c>
      <c r="L4" s="15" t="inlineStr">
        <is>
          <t>Moyenne UE /20 (auto)</t>
        </is>
      </c>
      <c r="M4" s="15" t="inlineStr">
        <is>
          <t>Points crédités (auto)</t>
        </is>
      </c>
    </row>
    <row r="5">
      <c r="A5" s="16" t="n">
        <v>1</v>
      </c>
      <c r="B5" s="4" t="n"/>
      <c r="C5" s="4" t="n"/>
      <c r="D5" s="4" t="n"/>
      <c r="E5" s="4" t="n"/>
      <c r="F5" s="4" t="n"/>
      <c r="G5" s="4" t="n"/>
      <c r="H5" s="35">
        <f>IF(OR(E5="",F5="",G5=""),"",E5&amp;"|"&amp;F5&amp;"|"&amp;G5)</f>
        <v/>
      </c>
      <c r="I5" s="36">
        <f>IFERROR(INDEX('8. Base UE (source TCD)'!$J$4:$J$326,MATCH(H5,'8. Base UE (source TCD)'!$L$4:$L$326,0)),"")</f>
        <v/>
      </c>
      <c r="J5" s="16" t="n"/>
      <c r="K5" s="16" t="n"/>
      <c r="L5" s="36">
        <f>IF(COUNT(J5:K5)=0,"",ROUND(J5*$F$2+K5*$I$2,2))</f>
        <v/>
      </c>
      <c r="M5" s="36">
        <f>IF(L5="","",L5*I5)</f>
        <v/>
      </c>
    </row>
    <row r="6">
      <c r="A6" s="16" t="n">
        <v>2</v>
      </c>
      <c r="B6" s="18" t="n"/>
      <c r="C6" s="18" t="n"/>
      <c r="D6" s="18" t="n"/>
      <c r="E6" s="18" t="n"/>
      <c r="F6" s="18" t="n"/>
      <c r="G6" s="18" t="n"/>
      <c r="H6" s="35">
        <f>IF(OR(E6="",F6="",G6=""),"",E6&amp;"|"&amp;F6&amp;"|"&amp;G6)</f>
        <v/>
      </c>
      <c r="I6" s="36">
        <f>IFERROR(INDEX('8. Base UE (source TCD)'!$J$4:$J$326,MATCH(H6,'8. Base UE (source TCD)'!$L$4:$L$326,0)),"")</f>
        <v/>
      </c>
      <c r="J6" s="17" t="n"/>
      <c r="K6" s="17" t="n"/>
      <c r="L6" s="36">
        <f>IF(COUNT(J6:K6)=0,"",ROUND(J6*$F$2+K6*$I$2,2))</f>
        <v/>
      </c>
      <c r="M6" s="36">
        <f>IF(L6="","",L6*I6)</f>
        <v/>
      </c>
    </row>
    <row r="7">
      <c r="A7" s="16" t="n">
        <v>3</v>
      </c>
      <c r="B7" s="4" t="n"/>
      <c r="C7" s="4" t="n"/>
      <c r="D7" s="4" t="n"/>
      <c r="E7" s="4" t="n"/>
      <c r="F7" s="4" t="n"/>
      <c r="G7" s="4" t="n"/>
      <c r="H7" s="35">
        <f>IF(OR(E7="",F7="",G7=""),"",E7&amp;"|"&amp;F7&amp;"|"&amp;G7)</f>
        <v/>
      </c>
      <c r="I7" s="36">
        <f>IFERROR(INDEX('8. Base UE (source TCD)'!$J$4:$J$326,MATCH(H7,'8. Base UE (source TCD)'!$L$4:$L$326,0)),"")</f>
        <v/>
      </c>
      <c r="J7" s="16" t="n"/>
      <c r="K7" s="16" t="n"/>
      <c r="L7" s="36">
        <f>IF(COUNT(J7:K7)=0,"",ROUND(J7*$F$2+K7*$I$2,2))</f>
        <v/>
      </c>
      <c r="M7" s="36">
        <f>IF(L7="","",L7*I7)</f>
        <v/>
      </c>
    </row>
    <row r="8">
      <c r="A8" s="16" t="n">
        <v>4</v>
      </c>
      <c r="B8" s="18" t="n"/>
      <c r="C8" s="18" t="n"/>
      <c r="D8" s="18" t="n"/>
      <c r="E8" s="18" t="n"/>
      <c r="F8" s="18" t="n"/>
      <c r="G8" s="18" t="n"/>
      <c r="H8" s="35">
        <f>IF(OR(E8="",F8="",G8=""),"",E8&amp;"|"&amp;F8&amp;"|"&amp;G8)</f>
        <v/>
      </c>
      <c r="I8" s="36">
        <f>IFERROR(INDEX('8. Base UE (source TCD)'!$J$4:$J$326,MATCH(H8,'8. Base UE (source TCD)'!$L$4:$L$326,0)),"")</f>
        <v/>
      </c>
      <c r="J8" s="17" t="n"/>
      <c r="K8" s="17" t="n"/>
      <c r="L8" s="36">
        <f>IF(COUNT(J8:K8)=0,"",ROUND(J8*$F$2+K8*$I$2,2))</f>
        <v/>
      </c>
      <c r="M8" s="36">
        <f>IF(L8="","",L8*I8)</f>
        <v/>
      </c>
    </row>
    <row r="9">
      <c r="A9" s="16" t="n">
        <v>5</v>
      </c>
      <c r="B9" s="4" t="n"/>
      <c r="C9" s="4" t="n"/>
      <c r="D9" s="4" t="n"/>
      <c r="E9" s="4" t="n"/>
      <c r="F9" s="4" t="n"/>
      <c r="G9" s="4" t="n"/>
      <c r="H9" s="35">
        <f>IF(OR(E9="",F9="",G9=""),"",E9&amp;"|"&amp;F9&amp;"|"&amp;G9)</f>
        <v/>
      </c>
      <c r="I9" s="36">
        <f>IFERROR(INDEX('8. Base UE (source TCD)'!$J$4:$J$326,MATCH(H9,'8. Base UE (source TCD)'!$L$4:$L$326,0)),"")</f>
        <v/>
      </c>
      <c r="J9" s="16" t="n"/>
      <c r="K9" s="16" t="n"/>
      <c r="L9" s="36">
        <f>IF(COUNT(J9:K9)=0,"",ROUND(J9*$F$2+K9*$I$2,2))</f>
        <v/>
      </c>
      <c r="M9" s="36">
        <f>IF(L9="","",L9*I9)</f>
        <v/>
      </c>
    </row>
    <row r="10">
      <c r="A10" s="16" t="n">
        <v>6</v>
      </c>
      <c r="B10" s="18" t="n"/>
      <c r="C10" s="18" t="n"/>
      <c r="D10" s="18" t="n"/>
      <c r="E10" s="18" t="n"/>
      <c r="F10" s="18" t="n"/>
      <c r="G10" s="18" t="n"/>
      <c r="H10" s="35">
        <f>IF(OR(E10="",F10="",G10=""),"",E10&amp;"|"&amp;F10&amp;"|"&amp;G10)</f>
        <v/>
      </c>
      <c r="I10" s="36">
        <f>IFERROR(INDEX('8. Base UE (source TCD)'!$J$4:$J$326,MATCH(H10,'8. Base UE (source TCD)'!$L$4:$L$326,0)),"")</f>
        <v/>
      </c>
      <c r="J10" s="17" t="n"/>
      <c r="K10" s="17" t="n"/>
      <c r="L10" s="36">
        <f>IF(COUNT(J10:K10)=0,"",ROUND(J10*$F$2+K10*$I$2,2))</f>
        <v/>
      </c>
      <c r="M10" s="36">
        <f>IF(L10="","",L10*I10)</f>
        <v/>
      </c>
    </row>
    <row r="11">
      <c r="A11" s="16" t="n">
        <v>7</v>
      </c>
      <c r="B11" s="4" t="n"/>
      <c r="C11" s="4" t="n"/>
      <c r="D11" s="4" t="n"/>
      <c r="E11" s="4" t="n"/>
      <c r="F11" s="4" t="n"/>
      <c r="G11" s="4" t="n"/>
      <c r="H11" s="35">
        <f>IF(OR(E11="",F11="",G11=""),"",E11&amp;"|"&amp;F11&amp;"|"&amp;G11)</f>
        <v/>
      </c>
      <c r="I11" s="36">
        <f>IFERROR(INDEX('8. Base UE (source TCD)'!$J$4:$J$326,MATCH(H11,'8. Base UE (source TCD)'!$L$4:$L$326,0)),"")</f>
        <v/>
      </c>
      <c r="J11" s="16" t="n"/>
      <c r="K11" s="16" t="n"/>
      <c r="L11" s="36">
        <f>IF(COUNT(J11:K11)=0,"",ROUND(J11*$F$2+K11*$I$2,2))</f>
        <v/>
      </c>
      <c r="M11" s="36">
        <f>IF(L11="","",L11*I11)</f>
        <v/>
      </c>
    </row>
    <row r="12">
      <c r="A12" s="16" t="n">
        <v>8</v>
      </c>
      <c r="B12" s="18" t="n"/>
      <c r="C12" s="18" t="n"/>
      <c r="D12" s="18" t="n"/>
      <c r="E12" s="18" t="n"/>
      <c r="F12" s="18" t="n"/>
      <c r="G12" s="18" t="n"/>
      <c r="H12" s="35">
        <f>IF(OR(E12="",F12="",G12=""),"",E12&amp;"|"&amp;F12&amp;"|"&amp;G12)</f>
        <v/>
      </c>
      <c r="I12" s="36">
        <f>IFERROR(INDEX('8. Base UE (source TCD)'!$J$4:$J$326,MATCH(H12,'8. Base UE (source TCD)'!$L$4:$L$326,0)),"")</f>
        <v/>
      </c>
      <c r="J12" s="17" t="n"/>
      <c r="K12" s="17" t="n"/>
      <c r="L12" s="36">
        <f>IF(COUNT(J12:K12)=0,"",ROUND(J12*$F$2+K12*$I$2,2))</f>
        <v/>
      </c>
      <c r="M12" s="36">
        <f>IF(L12="","",L12*I12)</f>
        <v/>
      </c>
    </row>
    <row r="13">
      <c r="A13" s="16" t="n">
        <v>9</v>
      </c>
      <c r="B13" s="4" t="n"/>
      <c r="C13" s="4" t="n"/>
      <c r="D13" s="4" t="n"/>
      <c r="E13" s="4" t="n"/>
      <c r="F13" s="4" t="n"/>
      <c r="G13" s="4" t="n"/>
      <c r="H13" s="35">
        <f>IF(OR(E13="",F13="",G13=""),"",E13&amp;"|"&amp;F13&amp;"|"&amp;G13)</f>
        <v/>
      </c>
      <c r="I13" s="36">
        <f>IFERROR(INDEX('8. Base UE (source TCD)'!$J$4:$J$326,MATCH(H13,'8. Base UE (source TCD)'!$L$4:$L$326,0)),"")</f>
        <v/>
      </c>
      <c r="J13" s="16" t="n"/>
      <c r="K13" s="16" t="n"/>
      <c r="L13" s="36">
        <f>IF(COUNT(J13:K13)=0,"",ROUND(J13*$F$2+K13*$I$2,2))</f>
        <v/>
      </c>
      <c r="M13" s="36">
        <f>IF(L13="","",L13*I13)</f>
        <v/>
      </c>
    </row>
    <row r="14">
      <c r="A14" s="16" t="n">
        <v>10</v>
      </c>
      <c r="B14" s="18" t="n"/>
      <c r="C14" s="18" t="n"/>
      <c r="D14" s="18" t="n"/>
      <c r="E14" s="18" t="n"/>
      <c r="F14" s="18" t="n"/>
      <c r="G14" s="18" t="n"/>
      <c r="H14" s="35">
        <f>IF(OR(E14="",F14="",G14=""),"",E14&amp;"|"&amp;F14&amp;"|"&amp;G14)</f>
        <v/>
      </c>
      <c r="I14" s="36">
        <f>IFERROR(INDEX('8. Base UE (source TCD)'!$J$4:$J$326,MATCH(H14,'8. Base UE (source TCD)'!$L$4:$L$326,0)),"")</f>
        <v/>
      </c>
      <c r="J14" s="17" t="n"/>
      <c r="K14" s="17" t="n"/>
      <c r="L14" s="36">
        <f>IF(COUNT(J14:K14)=0,"",ROUND(J14*$F$2+K14*$I$2,2))</f>
        <v/>
      </c>
      <c r="M14" s="36">
        <f>IF(L14="","",L14*I14)</f>
        <v/>
      </c>
    </row>
    <row r="15">
      <c r="A15" s="16" t="n">
        <v>11</v>
      </c>
      <c r="B15" s="4" t="n"/>
      <c r="C15" s="4" t="n"/>
      <c r="D15" s="4" t="n"/>
      <c r="E15" s="4" t="n"/>
      <c r="F15" s="4" t="n"/>
      <c r="G15" s="4" t="n"/>
      <c r="H15" s="35">
        <f>IF(OR(E15="",F15="",G15=""),"",E15&amp;"|"&amp;F15&amp;"|"&amp;G15)</f>
        <v/>
      </c>
      <c r="I15" s="36">
        <f>IFERROR(INDEX('8. Base UE (source TCD)'!$J$4:$J$326,MATCH(H15,'8. Base UE (source TCD)'!$L$4:$L$326,0)),"")</f>
        <v/>
      </c>
      <c r="J15" s="16" t="n"/>
      <c r="K15" s="16" t="n"/>
      <c r="L15" s="36">
        <f>IF(COUNT(J15:K15)=0,"",ROUND(J15*$F$2+K15*$I$2,2))</f>
        <v/>
      </c>
      <c r="M15" s="36">
        <f>IF(L15="","",L15*I15)</f>
        <v/>
      </c>
    </row>
    <row r="16">
      <c r="A16" s="16" t="n">
        <v>12</v>
      </c>
      <c r="B16" s="18" t="n"/>
      <c r="C16" s="18" t="n"/>
      <c r="D16" s="18" t="n"/>
      <c r="E16" s="18" t="n"/>
      <c r="F16" s="18" t="n"/>
      <c r="G16" s="18" t="n"/>
      <c r="H16" s="35">
        <f>IF(OR(E16="",F16="",G16=""),"",E16&amp;"|"&amp;F16&amp;"|"&amp;G16)</f>
        <v/>
      </c>
      <c r="I16" s="36">
        <f>IFERROR(INDEX('8. Base UE (source TCD)'!$J$4:$J$326,MATCH(H16,'8. Base UE (source TCD)'!$L$4:$L$326,0)),"")</f>
        <v/>
      </c>
      <c r="J16" s="17" t="n"/>
      <c r="K16" s="17" t="n"/>
      <c r="L16" s="36">
        <f>IF(COUNT(J16:K16)=0,"",ROUND(J16*$F$2+K16*$I$2,2))</f>
        <v/>
      </c>
      <c r="M16" s="36">
        <f>IF(L16="","",L16*I16)</f>
        <v/>
      </c>
    </row>
    <row r="17">
      <c r="A17" s="16" t="n">
        <v>13</v>
      </c>
      <c r="B17" s="4" t="n"/>
      <c r="C17" s="4" t="n"/>
      <c r="D17" s="4" t="n"/>
      <c r="E17" s="4" t="n"/>
      <c r="F17" s="4" t="n"/>
      <c r="G17" s="4" t="n"/>
      <c r="H17" s="35">
        <f>IF(OR(E17="",F17="",G17=""),"",E17&amp;"|"&amp;F17&amp;"|"&amp;G17)</f>
        <v/>
      </c>
      <c r="I17" s="36">
        <f>IFERROR(INDEX('8. Base UE (source TCD)'!$J$4:$J$326,MATCH(H17,'8. Base UE (source TCD)'!$L$4:$L$326,0)),"")</f>
        <v/>
      </c>
      <c r="J17" s="16" t="n"/>
      <c r="K17" s="16" t="n"/>
      <c r="L17" s="36">
        <f>IF(COUNT(J17:K17)=0,"",ROUND(J17*$F$2+K17*$I$2,2))</f>
        <v/>
      </c>
      <c r="M17" s="36">
        <f>IF(L17="","",L17*I17)</f>
        <v/>
      </c>
    </row>
    <row r="18">
      <c r="A18" s="16" t="n">
        <v>14</v>
      </c>
      <c r="B18" s="18" t="n"/>
      <c r="C18" s="18" t="n"/>
      <c r="D18" s="18" t="n"/>
      <c r="E18" s="18" t="n"/>
      <c r="F18" s="18" t="n"/>
      <c r="G18" s="18" t="n"/>
      <c r="H18" s="35">
        <f>IF(OR(E18="",F18="",G18=""),"",E18&amp;"|"&amp;F18&amp;"|"&amp;G18)</f>
        <v/>
      </c>
      <c r="I18" s="36">
        <f>IFERROR(INDEX('8. Base UE (source TCD)'!$J$4:$J$326,MATCH(H18,'8. Base UE (source TCD)'!$L$4:$L$326,0)),"")</f>
        <v/>
      </c>
      <c r="J18" s="17" t="n"/>
      <c r="K18" s="17" t="n"/>
      <c r="L18" s="36">
        <f>IF(COUNT(J18:K18)=0,"",ROUND(J18*$F$2+K18*$I$2,2))</f>
        <v/>
      </c>
      <c r="M18" s="36">
        <f>IF(L18="","",L18*I18)</f>
        <v/>
      </c>
    </row>
    <row r="19">
      <c r="A19" s="16" t="n">
        <v>15</v>
      </c>
      <c r="B19" s="4" t="n"/>
      <c r="C19" s="4" t="n"/>
      <c r="D19" s="4" t="n"/>
      <c r="E19" s="4" t="n"/>
      <c r="F19" s="4" t="n"/>
      <c r="G19" s="4" t="n"/>
      <c r="H19" s="35">
        <f>IF(OR(E19="",F19="",G19=""),"",E19&amp;"|"&amp;F19&amp;"|"&amp;G19)</f>
        <v/>
      </c>
      <c r="I19" s="36">
        <f>IFERROR(INDEX('8. Base UE (source TCD)'!$J$4:$J$326,MATCH(H19,'8. Base UE (source TCD)'!$L$4:$L$326,0)),"")</f>
        <v/>
      </c>
      <c r="J19" s="16" t="n"/>
      <c r="K19" s="16" t="n"/>
      <c r="L19" s="36">
        <f>IF(COUNT(J19:K19)=0,"",ROUND(J19*$F$2+K19*$I$2,2))</f>
        <v/>
      </c>
      <c r="M19" s="36">
        <f>IF(L19="","",L19*I19)</f>
        <v/>
      </c>
    </row>
    <row r="20">
      <c r="A20" s="16" t="n">
        <v>16</v>
      </c>
      <c r="B20" s="18" t="n"/>
      <c r="C20" s="18" t="n"/>
      <c r="D20" s="18" t="n"/>
      <c r="E20" s="18" t="n"/>
      <c r="F20" s="18" t="n"/>
      <c r="G20" s="18" t="n"/>
      <c r="H20" s="35">
        <f>IF(OR(E20="",F20="",G20=""),"",E20&amp;"|"&amp;F20&amp;"|"&amp;G20)</f>
        <v/>
      </c>
      <c r="I20" s="36">
        <f>IFERROR(INDEX('8. Base UE (source TCD)'!$J$4:$J$326,MATCH(H20,'8. Base UE (source TCD)'!$L$4:$L$326,0)),"")</f>
        <v/>
      </c>
      <c r="J20" s="17" t="n"/>
      <c r="K20" s="17" t="n"/>
      <c r="L20" s="36">
        <f>IF(COUNT(J20:K20)=0,"",ROUND(J20*$F$2+K20*$I$2,2))</f>
        <v/>
      </c>
      <c r="M20" s="36">
        <f>IF(L20="","",L20*I20)</f>
        <v/>
      </c>
    </row>
    <row r="21">
      <c r="A21" s="16" t="n">
        <v>17</v>
      </c>
      <c r="B21" s="4" t="n"/>
      <c r="C21" s="4" t="n"/>
      <c r="D21" s="4" t="n"/>
      <c r="E21" s="4" t="n"/>
      <c r="F21" s="4" t="n"/>
      <c r="G21" s="4" t="n"/>
      <c r="H21" s="35">
        <f>IF(OR(E21="",F21="",G21=""),"",E21&amp;"|"&amp;F21&amp;"|"&amp;G21)</f>
        <v/>
      </c>
      <c r="I21" s="36">
        <f>IFERROR(INDEX('8. Base UE (source TCD)'!$J$4:$J$326,MATCH(H21,'8. Base UE (source TCD)'!$L$4:$L$326,0)),"")</f>
        <v/>
      </c>
      <c r="J21" s="16" t="n"/>
      <c r="K21" s="16" t="n"/>
      <c r="L21" s="36">
        <f>IF(COUNT(J21:K21)=0,"",ROUND(J21*$F$2+K21*$I$2,2))</f>
        <v/>
      </c>
      <c r="M21" s="36">
        <f>IF(L21="","",L21*I21)</f>
        <v/>
      </c>
    </row>
    <row r="22">
      <c r="A22" s="16" t="n">
        <v>18</v>
      </c>
      <c r="B22" s="18" t="n"/>
      <c r="C22" s="18" t="n"/>
      <c r="D22" s="18" t="n"/>
      <c r="E22" s="18" t="n"/>
      <c r="F22" s="18" t="n"/>
      <c r="G22" s="18" t="n"/>
      <c r="H22" s="35">
        <f>IF(OR(E22="",F22="",G22=""),"",E22&amp;"|"&amp;F22&amp;"|"&amp;G22)</f>
        <v/>
      </c>
      <c r="I22" s="36">
        <f>IFERROR(INDEX('8. Base UE (source TCD)'!$J$4:$J$326,MATCH(H22,'8. Base UE (source TCD)'!$L$4:$L$326,0)),"")</f>
        <v/>
      </c>
      <c r="J22" s="17" t="n"/>
      <c r="K22" s="17" t="n"/>
      <c r="L22" s="36">
        <f>IF(COUNT(J22:K22)=0,"",ROUND(J22*$F$2+K22*$I$2,2))</f>
        <v/>
      </c>
      <c r="M22" s="36">
        <f>IF(L22="","",L22*I22)</f>
        <v/>
      </c>
    </row>
    <row r="23">
      <c r="A23" s="16" t="n">
        <v>19</v>
      </c>
      <c r="B23" s="4" t="n"/>
      <c r="C23" s="4" t="n"/>
      <c r="D23" s="4" t="n"/>
      <c r="E23" s="4" t="n"/>
      <c r="F23" s="4" t="n"/>
      <c r="G23" s="4" t="n"/>
      <c r="H23" s="35">
        <f>IF(OR(E23="",F23="",G23=""),"",E23&amp;"|"&amp;F23&amp;"|"&amp;G23)</f>
        <v/>
      </c>
      <c r="I23" s="36">
        <f>IFERROR(INDEX('8. Base UE (source TCD)'!$J$4:$J$326,MATCH(H23,'8. Base UE (source TCD)'!$L$4:$L$326,0)),"")</f>
        <v/>
      </c>
      <c r="J23" s="16" t="n"/>
      <c r="K23" s="16" t="n"/>
      <c r="L23" s="36">
        <f>IF(COUNT(J23:K23)=0,"",ROUND(J23*$F$2+K23*$I$2,2))</f>
        <v/>
      </c>
      <c r="M23" s="36">
        <f>IF(L23="","",L23*I23)</f>
        <v/>
      </c>
    </row>
    <row r="24">
      <c r="A24" s="16" t="n">
        <v>20</v>
      </c>
      <c r="B24" s="18" t="n"/>
      <c r="C24" s="18" t="n"/>
      <c r="D24" s="18" t="n"/>
      <c r="E24" s="18" t="n"/>
      <c r="F24" s="18" t="n"/>
      <c r="G24" s="18" t="n"/>
      <c r="H24" s="35">
        <f>IF(OR(E24="",F24="",G24=""),"",E24&amp;"|"&amp;F24&amp;"|"&amp;G24)</f>
        <v/>
      </c>
      <c r="I24" s="36">
        <f>IFERROR(INDEX('8. Base UE (source TCD)'!$J$4:$J$326,MATCH(H24,'8. Base UE (source TCD)'!$L$4:$L$326,0)),"")</f>
        <v/>
      </c>
      <c r="J24" s="17" t="n"/>
      <c r="K24" s="17" t="n"/>
      <c r="L24" s="36">
        <f>IF(COUNT(J24:K24)=0,"",ROUND(J24*$F$2+K24*$I$2,2))</f>
        <v/>
      </c>
      <c r="M24" s="36">
        <f>IF(L24="","",L24*I24)</f>
        <v/>
      </c>
    </row>
    <row r="25">
      <c r="A25" s="16" t="n">
        <v>21</v>
      </c>
      <c r="B25" s="4" t="n"/>
      <c r="C25" s="4" t="n"/>
      <c r="D25" s="4" t="n"/>
      <c r="E25" s="4" t="n"/>
      <c r="F25" s="4" t="n"/>
      <c r="G25" s="4" t="n"/>
      <c r="H25" s="35">
        <f>IF(OR(E25="",F25="",G25=""),"",E25&amp;"|"&amp;F25&amp;"|"&amp;G25)</f>
        <v/>
      </c>
      <c r="I25" s="36">
        <f>IFERROR(INDEX('8. Base UE (source TCD)'!$J$4:$J$326,MATCH(H25,'8. Base UE (source TCD)'!$L$4:$L$326,0)),"")</f>
        <v/>
      </c>
      <c r="J25" s="16" t="n"/>
      <c r="K25" s="16" t="n"/>
      <c r="L25" s="36">
        <f>IF(COUNT(J25:K25)=0,"",ROUND(J25*$F$2+K25*$I$2,2))</f>
        <v/>
      </c>
      <c r="M25" s="36">
        <f>IF(L25="","",L25*I25)</f>
        <v/>
      </c>
    </row>
    <row r="26">
      <c r="A26" s="16" t="n">
        <v>22</v>
      </c>
      <c r="B26" s="18" t="n"/>
      <c r="C26" s="18" t="n"/>
      <c r="D26" s="18" t="n"/>
      <c r="E26" s="18" t="n"/>
      <c r="F26" s="18" t="n"/>
      <c r="G26" s="18" t="n"/>
      <c r="H26" s="35">
        <f>IF(OR(E26="",F26="",G26=""),"",E26&amp;"|"&amp;F26&amp;"|"&amp;G26)</f>
        <v/>
      </c>
      <c r="I26" s="36">
        <f>IFERROR(INDEX('8. Base UE (source TCD)'!$J$4:$J$326,MATCH(H26,'8. Base UE (source TCD)'!$L$4:$L$326,0)),"")</f>
        <v/>
      </c>
      <c r="J26" s="17" t="n"/>
      <c r="K26" s="17" t="n"/>
      <c r="L26" s="36">
        <f>IF(COUNT(J26:K26)=0,"",ROUND(J26*$F$2+K26*$I$2,2))</f>
        <v/>
      </c>
      <c r="M26" s="36">
        <f>IF(L26="","",L26*I26)</f>
        <v/>
      </c>
    </row>
    <row r="27">
      <c r="A27" s="16" t="n">
        <v>23</v>
      </c>
      <c r="B27" s="4" t="n"/>
      <c r="C27" s="4" t="n"/>
      <c r="D27" s="4" t="n"/>
      <c r="E27" s="4" t="n"/>
      <c r="F27" s="4" t="n"/>
      <c r="G27" s="4" t="n"/>
      <c r="H27" s="35">
        <f>IF(OR(E27="",F27="",G27=""),"",E27&amp;"|"&amp;F27&amp;"|"&amp;G27)</f>
        <v/>
      </c>
      <c r="I27" s="36">
        <f>IFERROR(INDEX('8. Base UE (source TCD)'!$J$4:$J$326,MATCH(H27,'8. Base UE (source TCD)'!$L$4:$L$326,0)),"")</f>
        <v/>
      </c>
      <c r="J27" s="16" t="n"/>
      <c r="K27" s="16" t="n"/>
      <c r="L27" s="36">
        <f>IF(COUNT(J27:K27)=0,"",ROUND(J27*$F$2+K27*$I$2,2))</f>
        <v/>
      </c>
      <c r="M27" s="36">
        <f>IF(L27="","",L27*I27)</f>
        <v/>
      </c>
    </row>
    <row r="28">
      <c r="A28" s="16" t="n">
        <v>24</v>
      </c>
      <c r="B28" s="18" t="n"/>
      <c r="C28" s="18" t="n"/>
      <c r="D28" s="18" t="n"/>
      <c r="E28" s="18" t="n"/>
      <c r="F28" s="18" t="n"/>
      <c r="G28" s="18" t="n"/>
      <c r="H28" s="35">
        <f>IF(OR(E28="",F28="",G28=""),"",E28&amp;"|"&amp;F28&amp;"|"&amp;G28)</f>
        <v/>
      </c>
      <c r="I28" s="36">
        <f>IFERROR(INDEX('8. Base UE (source TCD)'!$J$4:$J$326,MATCH(H28,'8. Base UE (source TCD)'!$L$4:$L$326,0)),"")</f>
        <v/>
      </c>
      <c r="J28" s="17" t="n"/>
      <c r="K28" s="17" t="n"/>
      <c r="L28" s="36">
        <f>IF(COUNT(J28:K28)=0,"",ROUND(J28*$F$2+K28*$I$2,2))</f>
        <v/>
      </c>
      <c r="M28" s="36">
        <f>IF(L28="","",L28*I28)</f>
        <v/>
      </c>
    </row>
    <row r="29">
      <c r="A29" s="16" t="n">
        <v>25</v>
      </c>
      <c r="B29" s="4" t="n"/>
      <c r="C29" s="4" t="n"/>
      <c r="D29" s="4" t="n"/>
      <c r="E29" s="4" t="n"/>
      <c r="F29" s="4" t="n"/>
      <c r="G29" s="4" t="n"/>
      <c r="H29" s="35">
        <f>IF(OR(E29="",F29="",G29=""),"",E29&amp;"|"&amp;F29&amp;"|"&amp;G29)</f>
        <v/>
      </c>
      <c r="I29" s="36">
        <f>IFERROR(INDEX('8. Base UE (source TCD)'!$J$4:$J$326,MATCH(H29,'8. Base UE (source TCD)'!$L$4:$L$326,0)),"")</f>
        <v/>
      </c>
      <c r="J29" s="16" t="n"/>
      <c r="K29" s="16" t="n"/>
      <c r="L29" s="36">
        <f>IF(COUNT(J29:K29)=0,"",ROUND(J29*$F$2+K29*$I$2,2))</f>
        <v/>
      </c>
      <c r="M29" s="36">
        <f>IF(L29="","",L29*I29)</f>
        <v/>
      </c>
    </row>
    <row r="30">
      <c r="A30" s="16" t="n">
        <v>26</v>
      </c>
      <c r="B30" s="18" t="n"/>
      <c r="C30" s="18" t="n"/>
      <c r="D30" s="18" t="n"/>
      <c r="E30" s="18" t="n"/>
      <c r="F30" s="18" t="n"/>
      <c r="G30" s="18" t="n"/>
      <c r="H30" s="35">
        <f>IF(OR(E30="",F30="",G30=""),"",E30&amp;"|"&amp;F30&amp;"|"&amp;G30)</f>
        <v/>
      </c>
      <c r="I30" s="36">
        <f>IFERROR(INDEX('8. Base UE (source TCD)'!$J$4:$J$326,MATCH(H30,'8. Base UE (source TCD)'!$L$4:$L$326,0)),"")</f>
        <v/>
      </c>
      <c r="J30" s="17" t="n"/>
      <c r="K30" s="17" t="n"/>
      <c r="L30" s="36">
        <f>IF(COUNT(J30:K30)=0,"",ROUND(J30*$F$2+K30*$I$2,2))</f>
        <v/>
      </c>
      <c r="M30" s="36">
        <f>IF(L30="","",L30*I30)</f>
        <v/>
      </c>
    </row>
    <row r="31">
      <c r="A31" s="16" t="n">
        <v>27</v>
      </c>
      <c r="B31" s="4" t="n"/>
      <c r="C31" s="4" t="n"/>
      <c r="D31" s="4" t="n"/>
      <c r="E31" s="4" t="n"/>
      <c r="F31" s="4" t="n"/>
      <c r="G31" s="4" t="n"/>
      <c r="H31" s="35">
        <f>IF(OR(E31="",F31="",G31=""),"",E31&amp;"|"&amp;F31&amp;"|"&amp;G31)</f>
        <v/>
      </c>
      <c r="I31" s="36">
        <f>IFERROR(INDEX('8. Base UE (source TCD)'!$J$4:$J$326,MATCH(H31,'8. Base UE (source TCD)'!$L$4:$L$326,0)),"")</f>
        <v/>
      </c>
      <c r="J31" s="16" t="n"/>
      <c r="K31" s="16" t="n"/>
      <c r="L31" s="36">
        <f>IF(COUNT(J31:K31)=0,"",ROUND(J31*$F$2+K31*$I$2,2))</f>
        <v/>
      </c>
      <c r="M31" s="36">
        <f>IF(L31="","",L31*I31)</f>
        <v/>
      </c>
    </row>
    <row r="32">
      <c r="A32" s="16" t="n">
        <v>28</v>
      </c>
      <c r="B32" s="18" t="n"/>
      <c r="C32" s="18" t="n"/>
      <c r="D32" s="18" t="n"/>
      <c r="E32" s="18" t="n"/>
      <c r="F32" s="18" t="n"/>
      <c r="G32" s="18" t="n"/>
      <c r="H32" s="35">
        <f>IF(OR(E32="",F32="",G32=""),"",E32&amp;"|"&amp;F32&amp;"|"&amp;G32)</f>
        <v/>
      </c>
      <c r="I32" s="36">
        <f>IFERROR(INDEX('8. Base UE (source TCD)'!$J$4:$J$326,MATCH(H32,'8. Base UE (source TCD)'!$L$4:$L$326,0)),"")</f>
        <v/>
      </c>
      <c r="J32" s="17" t="n"/>
      <c r="K32" s="17" t="n"/>
      <c r="L32" s="36">
        <f>IF(COUNT(J32:K32)=0,"",ROUND(J32*$F$2+K32*$I$2,2))</f>
        <v/>
      </c>
      <c r="M32" s="36">
        <f>IF(L32="","",L32*I32)</f>
        <v/>
      </c>
    </row>
    <row r="33">
      <c r="A33" s="16" t="n">
        <v>29</v>
      </c>
      <c r="B33" s="4" t="n"/>
      <c r="C33" s="4" t="n"/>
      <c r="D33" s="4" t="n"/>
      <c r="E33" s="4" t="n"/>
      <c r="F33" s="4" t="n"/>
      <c r="G33" s="4" t="n"/>
      <c r="H33" s="35">
        <f>IF(OR(E33="",F33="",G33=""),"",E33&amp;"|"&amp;F33&amp;"|"&amp;G33)</f>
        <v/>
      </c>
      <c r="I33" s="36">
        <f>IFERROR(INDEX('8. Base UE (source TCD)'!$J$4:$J$326,MATCH(H33,'8. Base UE (source TCD)'!$L$4:$L$326,0)),"")</f>
        <v/>
      </c>
      <c r="J33" s="16" t="n"/>
      <c r="K33" s="16" t="n"/>
      <c r="L33" s="36">
        <f>IF(COUNT(J33:K33)=0,"",ROUND(J33*$F$2+K33*$I$2,2))</f>
        <v/>
      </c>
      <c r="M33" s="36">
        <f>IF(L33="","",L33*I33)</f>
        <v/>
      </c>
    </row>
    <row r="34">
      <c r="A34" s="16" t="n">
        <v>30</v>
      </c>
      <c r="B34" s="18" t="n"/>
      <c r="C34" s="18" t="n"/>
      <c r="D34" s="18" t="n"/>
      <c r="E34" s="18" t="n"/>
      <c r="F34" s="18" t="n"/>
      <c r="G34" s="18" t="n"/>
      <c r="H34" s="35">
        <f>IF(OR(E34="",F34="",G34=""),"",E34&amp;"|"&amp;F34&amp;"|"&amp;G34)</f>
        <v/>
      </c>
      <c r="I34" s="36">
        <f>IFERROR(INDEX('8. Base UE (source TCD)'!$J$4:$J$326,MATCH(H34,'8. Base UE (source TCD)'!$L$4:$L$326,0)),"")</f>
        <v/>
      </c>
      <c r="J34" s="17" t="n"/>
      <c r="K34" s="17" t="n"/>
      <c r="L34" s="36">
        <f>IF(COUNT(J34:K34)=0,"",ROUND(J34*$F$2+K34*$I$2,2))</f>
        <v/>
      </c>
      <c r="M34" s="36">
        <f>IF(L34="","",L34*I34)</f>
        <v/>
      </c>
    </row>
    <row r="35">
      <c r="A35" s="16" t="n">
        <v>31</v>
      </c>
      <c r="B35" s="4" t="n"/>
      <c r="C35" s="4" t="n"/>
      <c r="D35" s="4" t="n"/>
      <c r="E35" s="4" t="n"/>
      <c r="F35" s="4" t="n"/>
      <c r="G35" s="4" t="n"/>
      <c r="H35" s="35">
        <f>IF(OR(E35="",F35="",G35=""),"",E35&amp;"|"&amp;F35&amp;"|"&amp;G35)</f>
        <v/>
      </c>
      <c r="I35" s="36">
        <f>IFERROR(INDEX('8. Base UE (source TCD)'!$J$4:$J$326,MATCH(H35,'8. Base UE (source TCD)'!$L$4:$L$326,0)),"")</f>
        <v/>
      </c>
      <c r="J35" s="16" t="n"/>
      <c r="K35" s="16" t="n"/>
      <c r="L35" s="36">
        <f>IF(COUNT(J35:K35)=0,"",ROUND(J35*$F$2+K35*$I$2,2))</f>
        <v/>
      </c>
      <c r="M35" s="36">
        <f>IF(L35="","",L35*I35)</f>
        <v/>
      </c>
    </row>
    <row r="36">
      <c r="A36" s="16" t="n">
        <v>32</v>
      </c>
      <c r="B36" s="18" t="n"/>
      <c r="C36" s="18" t="n"/>
      <c r="D36" s="18" t="n"/>
      <c r="E36" s="18" t="n"/>
      <c r="F36" s="18" t="n"/>
      <c r="G36" s="18" t="n"/>
      <c r="H36" s="35">
        <f>IF(OR(E36="",F36="",G36=""),"",E36&amp;"|"&amp;F36&amp;"|"&amp;G36)</f>
        <v/>
      </c>
      <c r="I36" s="36">
        <f>IFERROR(INDEX('8. Base UE (source TCD)'!$J$4:$J$326,MATCH(H36,'8. Base UE (source TCD)'!$L$4:$L$326,0)),"")</f>
        <v/>
      </c>
      <c r="J36" s="17" t="n"/>
      <c r="K36" s="17" t="n"/>
      <c r="L36" s="36">
        <f>IF(COUNT(J36:K36)=0,"",ROUND(J36*$F$2+K36*$I$2,2))</f>
        <v/>
      </c>
      <c r="M36" s="36">
        <f>IF(L36="","",L36*I36)</f>
        <v/>
      </c>
    </row>
    <row r="37">
      <c r="A37" s="16" t="n">
        <v>33</v>
      </c>
      <c r="B37" s="4" t="n"/>
      <c r="C37" s="4" t="n"/>
      <c r="D37" s="4" t="n"/>
      <c r="E37" s="4" t="n"/>
      <c r="F37" s="4" t="n"/>
      <c r="G37" s="4" t="n"/>
      <c r="H37" s="35">
        <f>IF(OR(E37="",F37="",G37=""),"",E37&amp;"|"&amp;F37&amp;"|"&amp;G37)</f>
        <v/>
      </c>
      <c r="I37" s="36">
        <f>IFERROR(INDEX('8. Base UE (source TCD)'!$J$4:$J$326,MATCH(H37,'8. Base UE (source TCD)'!$L$4:$L$326,0)),"")</f>
        <v/>
      </c>
      <c r="J37" s="16" t="n"/>
      <c r="K37" s="16" t="n"/>
      <c r="L37" s="36">
        <f>IF(COUNT(J37:K37)=0,"",ROUND(J37*$F$2+K37*$I$2,2))</f>
        <v/>
      </c>
      <c r="M37" s="36">
        <f>IF(L37="","",L37*I37)</f>
        <v/>
      </c>
    </row>
    <row r="38">
      <c r="A38" s="16" t="n">
        <v>34</v>
      </c>
      <c r="B38" s="18" t="n"/>
      <c r="C38" s="18" t="n"/>
      <c r="D38" s="18" t="n"/>
      <c r="E38" s="18" t="n"/>
      <c r="F38" s="18" t="n"/>
      <c r="G38" s="18" t="n"/>
      <c r="H38" s="35">
        <f>IF(OR(E38="",F38="",G38=""),"",E38&amp;"|"&amp;F38&amp;"|"&amp;G38)</f>
        <v/>
      </c>
      <c r="I38" s="36">
        <f>IFERROR(INDEX('8. Base UE (source TCD)'!$J$4:$J$326,MATCH(H38,'8. Base UE (source TCD)'!$L$4:$L$326,0)),"")</f>
        <v/>
      </c>
      <c r="J38" s="17" t="n"/>
      <c r="K38" s="17" t="n"/>
      <c r="L38" s="36">
        <f>IF(COUNT(J38:K38)=0,"",ROUND(J38*$F$2+K38*$I$2,2))</f>
        <v/>
      </c>
      <c r="M38" s="36">
        <f>IF(L38="","",L38*I38)</f>
        <v/>
      </c>
    </row>
    <row r="39">
      <c r="A39" s="16" t="n">
        <v>35</v>
      </c>
      <c r="B39" s="4" t="n"/>
      <c r="C39" s="4" t="n"/>
      <c r="D39" s="4" t="n"/>
      <c r="E39" s="4" t="n"/>
      <c r="F39" s="4" t="n"/>
      <c r="G39" s="4" t="n"/>
      <c r="H39" s="35">
        <f>IF(OR(E39="",F39="",G39=""),"",E39&amp;"|"&amp;F39&amp;"|"&amp;G39)</f>
        <v/>
      </c>
      <c r="I39" s="36">
        <f>IFERROR(INDEX('8. Base UE (source TCD)'!$J$4:$J$326,MATCH(H39,'8. Base UE (source TCD)'!$L$4:$L$326,0)),"")</f>
        <v/>
      </c>
      <c r="J39" s="16" t="n"/>
      <c r="K39" s="16" t="n"/>
      <c r="L39" s="36">
        <f>IF(COUNT(J39:K39)=0,"",ROUND(J39*$F$2+K39*$I$2,2))</f>
        <v/>
      </c>
      <c r="M39" s="36">
        <f>IF(L39="","",L39*I39)</f>
        <v/>
      </c>
    </row>
    <row r="40">
      <c r="A40" s="16" t="n">
        <v>36</v>
      </c>
      <c r="B40" s="18" t="n"/>
      <c r="C40" s="18" t="n"/>
      <c r="D40" s="18" t="n"/>
      <c r="E40" s="18" t="n"/>
      <c r="F40" s="18" t="n"/>
      <c r="G40" s="18" t="n"/>
      <c r="H40" s="35">
        <f>IF(OR(E40="",F40="",G40=""),"",E40&amp;"|"&amp;F40&amp;"|"&amp;G40)</f>
        <v/>
      </c>
      <c r="I40" s="36">
        <f>IFERROR(INDEX('8. Base UE (source TCD)'!$J$4:$J$326,MATCH(H40,'8. Base UE (source TCD)'!$L$4:$L$326,0)),"")</f>
        <v/>
      </c>
      <c r="J40" s="17" t="n"/>
      <c r="K40" s="17" t="n"/>
      <c r="L40" s="36">
        <f>IF(COUNT(J40:K40)=0,"",ROUND(J40*$F$2+K40*$I$2,2))</f>
        <v/>
      </c>
      <c r="M40" s="36">
        <f>IF(L40="","",L40*I40)</f>
        <v/>
      </c>
    </row>
    <row r="41">
      <c r="A41" s="16" t="n">
        <v>37</v>
      </c>
      <c r="B41" s="4" t="n"/>
      <c r="C41" s="4" t="n"/>
      <c r="D41" s="4" t="n"/>
      <c r="E41" s="4" t="n"/>
      <c r="F41" s="4" t="n"/>
      <c r="G41" s="4" t="n"/>
      <c r="H41" s="35">
        <f>IF(OR(E41="",F41="",G41=""),"",E41&amp;"|"&amp;F41&amp;"|"&amp;G41)</f>
        <v/>
      </c>
      <c r="I41" s="36">
        <f>IFERROR(INDEX('8. Base UE (source TCD)'!$J$4:$J$326,MATCH(H41,'8. Base UE (source TCD)'!$L$4:$L$326,0)),"")</f>
        <v/>
      </c>
      <c r="J41" s="16" t="n"/>
      <c r="K41" s="16" t="n"/>
      <c r="L41" s="36">
        <f>IF(COUNT(J41:K41)=0,"",ROUND(J41*$F$2+K41*$I$2,2))</f>
        <v/>
      </c>
      <c r="M41" s="36">
        <f>IF(L41="","",L41*I41)</f>
        <v/>
      </c>
    </row>
    <row r="42">
      <c r="A42" s="16" t="n">
        <v>38</v>
      </c>
      <c r="B42" s="18" t="n"/>
      <c r="C42" s="18" t="n"/>
      <c r="D42" s="18" t="n"/>
      <c r="E42" s="18" t="n"/>
      <c r="F42" s="18" t="n"/>
      <c r="G42" s="18" t="n"/>
      <c r="H42" s="35">
        <f>IF(OR(E42="",F42="",G42=""),"",E42&amp;"|"&amp;F42&amp;"|"&amp;G42)</f>
        <v/>
      </c>
      <c r="I42" s="36">
        <f>IFERROR(INDEX('8. Base UE (source TCD)'!$J$4:$J$326,MATCH(H42,'8. Base UE (source TCD)'!$L$4:$L$326,0)),"")</f>
        <v/>
      </c>
      <c r="J42" s="17" t="n"/>
      <c r="K42" s="17" t="n"/>
      <c r="L42" s="36">
        <f>IF(COUNT(J42:K42)=0,"",ROUND(J42*$F$2+K42*$I$2,2))</f>
        <v/>
      </c>
      <c r="M42" s="36">
        <f>IF(L42="","",L42*I42)</f>
        <v/>
      </c>
    </row>
    <row r="43">
      <c r="A43" s="16" t="n">
        <v>39</v>
      </c>
      <c r="B43" s="4" t="n"/>
      <c r="C43" s="4" t="n"/>
      <c r="D43" s="4" t="n"/>
      <c r="E43" s="4" t="n"/>
      <c r="F43" s="4" t="n"/>
      <c r="G43" s="4" t="n"/>
      <c r="H43" s="35">
        <f>IF(OR(E43="",F43="",G43=""),"",E43&amp;"|"&amp;F43&amp;"|"&amp;G43)</f>
        <v/>
      </c>
      <c r="I43" s="36">
        <f>IFERROR(INDEX('8. Base UE (source TCD)'!$J$4:$J$326,MATCH(H43,'8. Base UE (source TCD)'!$L$4:$L$326,0)),"")</f>
        <v/>
      </c>
      <c r="J43" s="16" t="n"/>
      <c r="K43" s="16" t="n"/>
      <c r="L43" s="36">
        <f>IF(COUNT(J43:K43)=0,"",ROUND(J43*$F$2+K43*$I$2,2))</f>
        <v/>
      </c>
      <c r="M43" s="36">
        <f>IF(L43="","",L43*I43)</f>
        <v/>
      </c>
    </row>
    <row r="44">
      <c r="A44" s="16" t="n">
        <v>40</v>
      </c>
      <c r="B44" s="18" t="n"/>
      <c r="C44" s="18" t="n"/>
      <c r="D44" s="18" t="n"/>
      <c r="E44" s="18" t="n"/>
      <c r="F44" s="18" t="n"/>
      <c r="G44" s="18" t="n"/>
      <c r="H44" s="35">
        <f>IF(OR(E44="",F44="",G44=""),"",E44&amp;"|"&amp;F44&amp;"|"&amp;G44)</f>
        <v/>
      </c>
      <c r="I44" s="36">
        <f>IFERROR(INDEX('8. Base UE (source TCD)'!$J$4:$J$326,MATCH(H44,'8. Base UE (source TCD)'!$L$4:$L$326,0)),"")</f>
        <v/>
      </c>
      <c r="J44" s="17" t="n"/>
      <c r="K44" s="17" t="n"/>
      <c r="L44" s="36">
        <f>IF(COUNT(J44:K44)=0,"",ROUND(J44*$F$2+K44*$I$2,2))</f>
        <v/>
      </c>
      <c r="M44" s="36">
        <f>IF(L44="","",L44*I44)</f>
        <v/>
      </c>
    </row>
    <row r="45">
      <c r="A45" s="16" t="n">
        <v>41</v>
      </c>
      <c r="B45" s="4" t="n"/>
      <c r="C45" s="4" t="n"/>
      <c r="D45" s="4" t="n"/>
      <c r="E45" s="4" t="n"/>
      <c r="F45" s="4" t="n"/>
      <c r="G45" s="4" t="n"/>
      <c r="H45" s="35">
        <f>IF(OR(E45="",F45="",G45=""),"",E45&amp;"|"&amp;F45&amp;"|"&amp;G45)</f>
        <v/>
      </c>
      <c r="I45" s="36">
        <f>IFERROR(INDEX('8. Base UE (source TCD)'!$J$4:$J$326,MATCH(H45,'8. Base UE (source TCD)'!$L$4:$L$326,0)),"")</f>
        <v/>
      </c>
      <c r="J45" s="16" t="n"/>
      <c r="K45" s="16" t="n"/>
      <c r="L45" s="36">
        <f>IF(COUNT(J45:K45)=0,"",ROUND(J45*$F$2+K45*$I$2,2))</f>
        <v/>
      </c>
      <c r="M45" s="36">
        <f>IF(L45="","",L45*I45)</f>
        <v/>
      </c>
    </row>
    <row r="46">
      <c r="A46" s="16" t="n">
        <v>42</v>
      </c>
      <c r="B46" s="18" t="n"/>
      <c r="C46" s="18" t="n"/>
      <c r="D46" s="18" t="n"/>
      <c r="E46" s="18" t="n"/>
      <c r="F46" s="18" t="n"/>
      <c r="G46" s="18" t="n"/>
      <c r="H46" s="35">
        <f>IF(OR(E46="",F46="",G46=""),"",E46&amp;"|"&amp;F46&amp;"|"&amp;G46)</f>
        <v/>
      </c>
      <c r="I46" s="36">
        <f>IFERROR(INDEX('8. Base UE (source TCD)'!$J$4:$J$326,MATCH(H46,'8. Base UE (source TCD)'!$L$4:$L$326,0)),"")</f>
        <v/>
      </c>
      <c r="J46" s="17" t="n"/>
      <c r="K46" s="17" t="n"/>
      <c r="L46" s="36">
        <f>IF(COUNT(J46:K46)=0,"",ROUND(J46*$F$2+K46*$I$2,2))</f>
        <v/>
      </c>
      <c r="M46" s="36">
        <f>IF(L46="","",L46*I46)</f>
        <v/>
      </c>
    </row>
    <row r="47">
      <c r="A47" s="16" t="n">
        <v>43</v>
      </c>
      <c r="B47" s="4" t="n"/>
      <c r="C47" s="4" t="n"/>
      <c r="D47" s="4" t="n"/>
      <c r="E47" s="4" t="n"/>
      <c r="F47" s="4" t="n"/>
      <c r="G47" s="4" t="n"/>
      <c r="H47" s="35">
        <f>IF(OR(E47="",F47="",G47=""),"",E47&amp;"|"&amp;F47&amp;"|"&amp;G47)</f>
        <v/>
      </c>
      <c r="I47" s="36">
        <f>IFERROR(INDEX('8. Base UE (source TCD)'!$J$4:$J$326,MATCH(H47,'8. Base UE (source TCD)'!$L$4:$L$326,0)),"")</f>
        <v/>
      </c>
      <c r="J47" s="16" t="n"/>
      <c r="K47" s="16" t="n"/>
      <c r="L47" s="36">
        <f>IF(COUNT(J47:K47)=0,"",ROUND(J47*$F$2+K47*$I$2,2))</f>
        <v/>
      </c>
      <c r="M47" s="36">
        <f>IF(L47="","",L47*I47)</f>
        <v/>
      </c>
    </row>
    <row r="48">
      <c r="A48" s="16" t="n">
        <v>44</v>
      </c>
      <c r="B48" s="18" t="n"/>
      <c r="C48" s="18" t="n"/>
      <c r="D48" s="18" t="n"/>
      <c r="E48" s="18" t="n"/>
      <c r="F48" s="18" t="n"/>
      <c r="G48" s="18" t="n"/>
      <c r="H48" s="35">
        <f>IF(OR(E48="",F48="",G48=""),"",E48&amp;"|"&amp;F48&amp;"|"&amp;G48)</f>
        <v/>
      </c>
      <c r="I48" s="36">
        <f>IFERROR(INDEX('8. Base UE (source TCD)'!$J$4:$J$326,MATCH(H48,'8. Base UE (source TCD)'!$L$4:$L$326,0)),"")</f>
        <v/>
      </c>
      <c r="J48" s="17" t="n"/>
      <c r="K48" s="17" t="n"/>
      <c r="L48" s="36">
        <f>IF(COUNT(J48:K48)=0,"",ROUND(J48*$F$2+K48*$I$2,2))</f>
        <v/>
      </c>
      <c r="M48" s="36">
        <f>IF(L48="","",L48*I48)</f>
        <v/>
      </c>
    </row>
    <row r="49">
      <c r="A49" s="16" t="n">
        <v>45</v>
      </c>
      <c r="B49" s="4" t="n"/>
      <c r="C49" s="4" t="n"/>
      <c r="D49" s="4" t="n"/>
      <c r="E49" s="4" t="n"/>
      <c r="F49" s="4" t="n"/>
      <c r="G49" s="4" t="n"/>
      <c r="H49" s="35">
        <f>IF(OR(E49="",F49="",G49=""),"",E49&amp;"|"&amp;F49&amp;"|"&amp;G49)</f>
        <v/>
      </c>
      <c r="I49" s="36">
        <f>IFERROR(INDEX('8. Base UE (source TCD)'!$J$4:$J$326,MATCH(H49,'8. Base UE (source TCD)'!$L$4:$L$326,0)),"")</f>
        <v/>
      </c>
      <c r="J49" s="16" t="n"/>
      <c r="K49" s="16" t="n"/>
      <c r="L49" s="36">
        <f>IF(COUNT(J49:K49)=0,"",ROUND(J49*$F$2+K49*$I$2,2))</f>
        <v/>
      </c>
      <c r="M49" s="36">
        <f>IF(L49="","",L49*I49)</f>
        <v/>
      </c>
    </row>
    <row r="50">
      <c r="A50" s="16" t="n">
        <v>46</v>
      </c>
      <c r="B50" s="18" t="n"/>
      <c r="C50" s="18" t="n"/>
      <c r="D50" s="18" t="n"/>
      <c r="E50" s="18" t="n"/>
      <c r="F50" s="18" t="n"/>
      <c r="G50" s="18" t="n"/>
      <c r="H50" s="35">
        <f>IF(OR(E50="",F50="",G50=""),"",E50&amp;"|"&amp;F50&amp;"|"&amp;G50)</f>
        <v/>
      </c>
      <c r="I50" s="36">
        <f>IFERROR(INDEX('8. Base UE (source TCD)'!$J$4:$J$326,MATCH(H50,'8. Base UE (source TCD)'!$L$4:$L$326,0)),"")</f>
        <v/>
      </c>
      <c r="J50" s="17" t="n"/>
      <c r="K50" s="17" t="n"/>
      <c r="L50" s="36">
        <f>IF(COUNT(J50:K50)=0,"",ROUND(J50*$F$2+K50*$I$2,2))</f>
        <v/>
      </c>
      <c r="M50" s="36">
        <f>IF(L50="","",L50*I50)</f>
        <v/>
      </c>
    </row>
    <row r="51">
      <c r="A51" s="16" t="n">
        <v>47</v>
      </c>
      <c r="B51" s="4" t="n"/>
      <c r="C51" s="4" t="n"/>
      <c r="D51" s="4" t="n"/>
      <c r="E51" s="4" t="n"/>
      <c r="F51" s="4" t="n"/>
      <c r="G51" s="4" t="n"/>
      <c r="H51" s="35">
        <f>IF(OR(E51="",F51="",G51=""),"",E51&amp;"|"&amp;F51&amp;"|"&amp;G51)</f>
        <v/>
      </c>
      <c r="I51" s="36">
        <f>IFERROR(INDEX('8. Base UE (source TCD)'!$J$4:$J$326,MATCH(H51,'8. Base UE (source TCD)'!$L$4:$L$326,0)),"")</f>
        <v/>
      </c>
      <c r="J51" s="16" t="n"/>
      <c r="K51" s="16" t="n"/>
      <c r="L51" s="36">
        <f>IF(COUNT(J51:K51)=0,"",ROUND(J51*$F$2+K51*$I$2,2))</f>
        <v/>
      </c>
      <c r="M51" s="36">
        <f>IF(L51="","",L51*I51)</f>
        <v/>
      </c>
    </row>
    <row r="52">
      <c r="A52" s="16" t="n">
        <v>48</v>
      </c>
      <c r="B52" s="18" t="n"/>
      <c r="C52" s="18" t="n"/>
      <c r="D52" s="18" t="n"/>
      <c r="E52" s="18" t="n"/>
      <c r="F52" s="18" t="n"/>
      <c r="G52" s="18" t="n"/>
      <c r="H52" s="35">
        <f>IF(OR(E52="",F52="",G52=""),"",E52&amp;"|"&amp;F52&amp;"|"&amp;G52)</f>
        <v/>
      </c>
      <c r="I52" s="36">
        <f>IFERROR(INDEX('8. Base UE (source TCD)'!$J$4:$J$326,MATCH(H52,'8. Base UE (source TCD)'!$L$4:$L$326,0)),"")</f>
        <v/>
      </c>
      <c r="J52" s="17" t="n"/>
      <c r="K52" s="17" t="n"/>
      <c r="L52" s="36">
        <f>IF(COUNT(J52:K52)=0,"",ROUND(J52*$F$2+K52*$I$2,2))</f>
        <v/>
      </c>
      <c r="M52" s="36">
        <f>IF(L52="","",L52*I52)</f>
        <v/>
      </c>
    </row>
    <row r="53">
      <c r="A53" s="16" t="n">
        <v>49</v>
      </c>
      <c r="B53" s="4" t="n"/>
      <c r="C53" s="4" t="n"/>
      <c r="D53" s="4" t="n"/>
      <c r="E53" s="4" t="n"/>
      <c r="F53" s="4" t="n"/>
      <c r="G53" s="4" t="n"/>
      <c r="H53" s="35">
        <f>IF(OR(E53="",F53="",G53=""),"",E53&amp;"|"&amp;F53&amp;"|"&amp;G53)</f>
        <v/>
      </c>
      <c r="I53" s="36">
        <f>IFERROR(INDEX('8. Base UE (source TCD)'!$J$4:$J$326,MATCH(H53,'8. Base UE (source TCD)'!$L$4:$L$326,0)),"")</f>
        <v/>
      </c>
      <c r="J53" s="16" t="n"/>
      <c r="K53" s="16" t="n"/>
      <c r="L53" s="36">
        <f>IF(COUNT(J53:K53)=0,"",ROUND(J53*$F$2+K53*$I$2,2))</f>
        <v/>
      </c>
      <c r="M53" s="36">
        <f>IF(L53="","",L53*I53)</f>
        <v/>
      </c>
    </row>
    <row r="54">
      <c r="A54" s="16" t="n">
        <v>50</v>
      </c>
      <c r="B54" s="18" t="n"/>
      <c r="C54" s="18" t="n"/>
      <c r="D54" s="18" t="n"/>
      <c r="E54" s="18" t="n"/>
      <c r="F54" s="18" t="n"/>
      <c r="G54" s="18" t="n"/>
      <c r="H54" s="35">
        <f>IF(OR(E54="",F54="",G54=""),"",E54&amp;"|"&amp;F54&amp;"|"&amp;G54)</f>
        <v/>
      </c>
      <c r="I54" s="36">
        <f>IFERROR(INDEX('8. Base UE (source TCD)'!$J$4:$J$326,MATCH(H54,'8. Base UE (source TCD)'!$L$4:$L$326,0)),"")</f>
        <v/>
      </c>
      <c r="J54" s="17" t="n"/>
      <c r="K54" s="17" t="n"/>
      <c r="L54" s="36">
        <f>IF(COUNT(J54:K54)=0,"",ROUND(J54*$F$2+K54*$I$2,2))</f>
        <v/>
      </c>
      <c r="M54" s="36">
        <f>IF(L54="","",L54*I54)</f>
        <v/>
      </c>
    </row>
    <row r="55">
      <c r="A55" s="16" t="n">
        <v>51</v>
      </c>
      <c r="B55" s="4" t="n"/>
      <c r="C55" s="4" t="n"/>
      <c r="D55" s="4" t="n"/>
      <c r="E55" s="4" t="n"/>
      <c r="F55" s="4" t="n"/>
      <c r="G55" s="4" t="n"/>
      <c r="H55" s="35">
        <f>IF(OR(E55="",F55="",G55=""),"",E55&amp;"|"&amp;F55&amp;"|"&amp;G55)</f>
        <v/>
      </c>
      <c r="I55" s="36">
        <f>IFERROR(INDEX('8. Base UE (source TCD)'!$J$4:$J$326,MATCH(H55,'8. Base UE (source TCD)'!$L$4:$L$326,0)),"")</f>
        <v/>
      </c>
      <c r="J55" s="16" t="n"/>
      <c r="K55" s="16" t="n"/>
      <c r="L55" s="36">
        <f>IF(COUNT(J55:K55)=0,"",ROUND(J55*$F$2+K55*$I$2,2))</f>
        <v/>
      </c>
      <c r="M55" s="36">
        <f>IF(L55="","",L55*I55)</f>
        <v/>
      </c>
    </row>
    <row r="56">
      <c r="A56" s="16" t="n">
        <v>52</v>
      </c>
      <c r="B56" s="18" t="n"/>
      <c r="C56" s="18" t="n"/>
      <c r="D56" s="18" t="n"/>
      <c r="E56" s="18" t="n"/>
      <c r="F56" s="18" t="n"/>
      <c r="G56" s="18" t="n"/>
      <c r="H56" s="35">
        <f>IF(OR(E56="",F56="",G56=""),"",E56&amp;"|"&amp;F56&amp;"|"&amp;G56)</f>
        <v/>
      </c>
      <c r="I56" s="36">
        <f>IFERROR(INDEX('8. Base UE (source TCD)'!$J$4:$J$326,MATCH(H56,'8. Base UE (source TCD)'!$L$4:$L$326,0)),"")</f>
        <v/>
      </c>
      <c r="J56" s="17" t="n"/>
      <c r="K56" s="17" t="n"/>
      <c r="L56" s="36">
        <f>IF(COUNT(J56:K56)=0,"",ROUND(J56*$F$2+K56*$I$2,2))</f>
        <v/>
      </c>
      <c r="M56" s="36">
        <f>IF(L56="","",L56*I56)</f>
        <v/>
      </c>
    </row>
    <row r="57">
      <c r="A57" s="16" t="n">
        <v>53</v>
      </c>
      <c r="B57" s="4" t="n"/>
      <c r="C57" s="4" t="n"/>
      <c r="D57" s="4" t="n"/>
      <c r="E57" s="4" t="n"/>
      <c r="F57" s="4" t="n"/>
      <c r="G57" s="4" t="n"/>
      <c r="H57" s="35">
        <f>IF(OR(E57="",F57="",G57=""),"",E57&amp;"|"&amp;F57&amp;"|"&amp;G57)</f>
        <v/>
      </c>
      <c r="I57" s="36">
        <f>IFERROR(INDEX('8. Base UE (source TCD)'!$J$4:$J$326,MATCH(H57,'8. Base UE (source TCD)'!$L$4:$L$326,0)),"")</f>
        <v/>
      </c>
      <c r="J57" s="16" t="n"/>
      <c r="K57" s="16" t="n"/>
      <c r="L57" s="36">
        <f>IF(COUNT(J57:K57)=0,"",ROUND(J57*$F$2+K57*$I$2,2))</f>
        <v/>
      </c>
      <c r="M57" s="36">
        <f>IF(L57="","",L57*I57)</f>
        <v/>
      </c>
    </row>
    <row r="58">
      <c r="A58" s="16" t="n">
        <v>54</v>
      </c>
      <c r="B58" s="18" t="n"/>
      <c r="C58" s="18" t="n"/>
      <c r="D58" s="18" t="n"/>
      <c r="E58" s="18" t="n"/>
      <c r="F58" s="18" t="n"/>
      <c r="G58" s="18" t="n"/>
      <c r="H58" s="35">
        <f>IF(OR(E58="",F58="",G58=""),"",E58&amp;"|"&amp;F58&amp;"|"&amp;G58)</f>
        <v/>
      </c>
      <c r="I58" s="36">
        <f>IFERROR(INDEX('8. Base UE (source TCD)'!$J$4:$J$326,MATCH(H58,'8. Base UE (source TCD)'!$L$4:$L$326,0)),"")</f>
        <v/>
      </c>
      <c r="J58" s="17" t="n"/>
      <c r="K58" s="17" t="n"/>
      <c r="L58" s="36">
        <f>IF(COUNT(J58:K58)=0,"",ROUND(J58*$F$2+K58*$I$2,2))</f>
        <v/>
      </c>
      <c r="M58" s="36">
        <f>IF(L58="","",L58*I58)</f>
        <v/>
      </c>
    </row>
    <row r="59">
      <c r="A59" s="16" t="n">
        <v>55</v>
      </c>
      <c r="B59" s="4" t="n"/>
      <c r="C59" s="4" t="n"/>
      <c r="D59" s="4" t="n"/>
      <c r="E59" s="4" t="n"/>
      <c r="F59" s="4" t="n"/>
      <c r="G59" s="4" t="n"/>
      <c r="H59" s="35">
        <f>IF(OR(E59="",F59="",G59=""),"",E59&amp;"|"&amp;F59&amp;"|"&amp;G59)</f>
        <v/>
      </c>
      <c r="I59" s="36">
        <f>IFERROR(INDEX('8. Base UE (source TCD)'!$J$4:$J$326,MATCH(H59,'8. Base UE (source TCD)'!$L$4:$L$326,0)),"")</f>
        <v/>
      </c>
      <c r="J59" s="16" t="n"/>
      <c r="K59" s="16" t="n"/>
      <c r="L59" s="36">
        <f>IF(COUNT(J59:K59)=0,"",ROUND(J59*$F$2+K59*$I$2,2))</f>
        <v/>
      </c>
      <c r="M59" s="36">
        <f>IF(L59="","",L59*I59)</f>
        <v/>
      </c>
    </row>
    <row r="60">
      <c r="A60" s="16" t="n">
        <v>56</v>
      </c>
      <c r="B60" s="18" t="n"/>
      <c r="C60" s="18" t="n"/>
      <c r="D60" s="18" t="n"/>
      <c r="E60" s="18" t="n"/>
      <c r="F60" s="18" t="n"/>
      <c r="G60" s="18" t="n"/>
      <c r="H60" s="35">
        <f>IF(OR(E60="",F60="",G60=""),"",E60&amp;"|"&amp;F60&amp;"|"&amp;G60)</f>
        <v/>
      </c>
      <c r="I60" s="36">
        <f>IFERROR(INDEX('8. Base UE (source TCD)'!$J$4:$J$326,MATCH(H60,'8. Base UE (source TCD)'!$L$4:$L$326,0)),"")</f>
        <v/>
      </c>
      <c r="J60" s="17" t="n"/>
      <c r="K60" s="17" t="n"/>
      <c r="L60" s="36">
        <f>IF(COUNT(J60:K60)=0,"",ROUND(J60*$F$2+K60*$I$2,2))</f>
        <v/>
      </c>
      <c r="M60" s="36">
        <f>IF(L60="","",L60*I60)</f>
        <v/>
      </c>
    </row>
    <row r="61">
      <c r="A61" s="16" t="n">
        <v>57</v>
      </c>
      <c r="B61" s="4" t="n"/>
      <c r="C61" s="4" t="n"/>
      <c r="D61" s="4" t="n"/>
      <c r="E61" s="4" t="n"/>
      <c r="F61" s="4" t="n"/>
      <c r="G61" s="4" t="n"/>
      <c r="H61" s="35">
        <f>IF(OR(E61="",F61="",G61=""),"",E61&amp;"|"&amp;F61&amp;"|"&amp;G61)</f>
        <v/>
      </c>
      <c r="I61" s="36">
        <f>IFERROR(INDEX('8. Base UE (source TCD)'!$J$4:$J$326,MATCH(H61,'8. Base UE (source TCD)'!$L$4:$L$326,0)),"")</f>
        <v/>
      </c>
      <c r="J61" s="16" t="n"/>
      <c r="K61" s="16" t="n"/>
      <c r="L61" s="36">
        <f>IF(COUNT(J61:K61)=0,"",ROUND(J61*$F$2+K61*$I$2,2))</f>
        <v/>
      </c>
      <c r="M61" s="36">
        <f>IF(L61="","",L61*I61)</f>
        <v/>
      </c>
    </row>
    <row r="62">
      <c r="A62" s="16" t="n">
        <v>58</v>
      </c>
      <c r="B62" s="18" t="n"/>
      <c r="C62" s="18" t="n"/>
      <c r="D62" s="18" t="n"/>
      <c r="E62" s="18" t="n"/>
      <c r="F62" s="18" t="n"/>
      <c r="G62" s="18" t="n"/>
      <c r="H62" s="35">
        <f>IF(OR(E62="",F62="",G62=""),"",E62&amp;"|"&amp;F62&amp;"|"&amp;G62)</f>
        <v/>
      </c>
      <c r="I62" s="36">
        <f>IFERROR(INDEX('8. Base UE (source TCD)'!$J$4:$J$326,MATCH(H62,'8. Base UE (source TCD)'!$L$4:$L$326,0)),"")</f>
        <v/>
      </c>
      <c r="J62" s="17" t="n"/>
      <c r="K62" s="17" t="n"/>
      <c r="L62" s="36">
        <f>IF(COUNT(J62:K62)=0,"",ROUND(J62*$F$2+K62*$I$2,2))</f>
        <v/>
      </c>
      <c r="M62" s="36">
        <f>IF(L62="","",L62*I62)</f>
        <v/>
      </c>
    </row>
    <row r="63">
      <c r="A63" s="16" t="n">
        <v>59</v>
      </c>
      <c r="B63" s="4" t="n"/>
      <c r="C63" s="4" t="n"/>
      <c r="D63" s="4" t="n"/>
      <c r="E63" s="4" t="n"/>
      <c r="F63" s="4" t="n"/>
      <c r="G63" s="4" t="n"/>
      <c r="H63" s="35">
        <f>IF(OR(E63="",F63="",G63=""),"",E63&amp;"|"&amp;F63&amp;"|"&amp;G63)</f>
        <v/>
      </c>
      <c r="I63" s="36">
        <f>IFERROR(INDEX('8. Base UE (source TCD)'!$J$4:$J$326,MATCH(H63,'8. Base UE (source TCD)'!$L$4:$L$326,0)),"")</f>
        <v/>
      </c>
      <c r="J63" s="16" t="n"/>
      <c r="K63" s="16" t="n"/>
      <c r="L63" s="36">
        <f>IF(COUNT(J63:K63)=0,"",ROUND(J63*$F$2+K63*$I$2,2))</f>
        <v/>
      </c>
      <c r="M63" s="36">
        <f>IF(L63="","",L63*I63)</f>
        <v/>
      </c>
    </row>
    <row r="64">
      <c r="A64" s="16" t="n">
        <v>60</v>
      </c>
      <c r="B64" s="18" t="n"/>
      <c r="C64" s="18" t="n"/>
      <c r="D64" s="18" t="n"/>
      <c r="E64" s="18" t="n"/>
      <c r="F64" s="18" t="n"/>
      <c r="G64" s="18" t="n"/>
      <c r="H64" s="35">
        <f>IF(OR(E64="",F64="",G64=""),"",E64&amp;"|"&amp;F64&amp;"|"&amp;G64)</f>
        <v/>
      </c>
      <c r="I64" s="36">
        <f>IFERROR(INDEX('8. Base UE (source TCD)'!$J$4:$J$326,MATCH(H64,'8. Base UE (source TCD)'!$L$4:$L$326,0)),"")</f>
        <v/>
      </c>
      <c r="J64" s="17" t="n"/>
      <c r="K64" s="17" t="n"/>
      <c r="L64" s="36">
        <f>IF(COUNT(J64:K64)=0,"",ROUND(J64*$F$2+K64*$I$2,2))</f>
        <v/>
      </c>
      <c r="M64" s="36">
        <f>IF(L64="","",L64*I64)</f>
        <v/>
      </c>
    </row>
    <row r="65">
      <c r="A65" s="16" t="n">
        <v>61</v>
      </c>
      <c r="B65" s="4" t="n"/>
      <c r="C65" s="4" t="n"/>
      <c r="D65" s="4" t="n"/>
      <c r="E65" s="4" t="n"/>
      <c r="F65" s="4" t="n"/>
      <c r="G65" s="4" t="n"/>
      <c r="H65" s="35">
        <f>IF(OR(E65="",F65="",G65=""),"",E65&amp;"|"&amp;F65&amp;"|"&amp;G65)</f>
        <v/>
      </c>
      <c r="I65" s="36">
        <f>IFERROR(INDEX('8. Base UE (source TCD)'!$J$4:$J$326,MATCH(H65,'8. Base UE (source TCD)'!$L$4:$L$326,0)),"")</f>
        <v/>
      </c>
      <c r="J65" s="16" t="n"/>
      <c r="K65" s="16" t="n"/>
      <c r="L65" s="36">
        <f>IF(COUNT(J65:K65)=0,"",ROUND(J65*$F$2+K65*$I$2,2))</f>
        <v/>
      </c>
      <c r="M65" s="36">
        <f>IF(L65="","",L65*I65)</f>
        <v/>
      </c>
    </row>
    <row r="66">
      <c r="A66" s="16" t="n">
        <v>62</v>
      </c>
      <c r="B66" s="18" t="n"/>
      <c r="C66" s="18" t="n"/>
      <c r="D66" s="18" t="n"/>
      <c r="E66" s="18" t="n"/>
      <c r="F66" s="18" t="n"/>
      <c r="G66" s="18" t="n"/>
      <c r="H66" s="35">
        <f>IF(OR(E66="",F66="",G66=""),"",E66&amp;"|"&amp;F66&amp;"|"&amp;G66)</f>
        <v/>
      </c>
      <c r="I66" s="36">
        <f>IFERROR(INDEX('8. Base UE (source TCD)'!$J$4:$J$326,MATCH(H66,'8. Base UE (source TCD)'!$L$4:$L$326,0)),"")</f>
        <v/>
      </c>
      <c r="J66" s="17" t="n"/>
      <c r="K66" s="17" t="n"/>
      <c r="L66" s="36">
        <f>IF(COUNT(J66:K66)=0,"",ROUND(J66*$F$2+K66*$I$2,2))</f>
        <v/>
      </c>
      <c r="M66" s="36">
        <f>IF(L66="","",L66*I66)</f>
        <v/>
      </c>
    </row>
    <row r="67">
      <c r="A67" s="16" t="n">
        <v>63</v>
      </c>
      <c r="B67" s="4" t="n"/>
      <c r="C67" s="4" t="n"/>
      <c r="D67" s="4" t="n"/>
      <c r="E67" s="4" t="n"/>
      <c r="F67" s="4" t="n"/>
      <c r="G67" s="4" t="n"/>
      <c r="H67" s="35">
        <f>IF(OR(E67="",F67="",G67=""),"",E67&amp;"|"&amp;F67&amp;"|"&amp;G67)</f>
        <v/>
      </c>
      <c r="I67" s="36">
        <f>IFERROR(INDEX('8. Base UE (source TCD)'!$J$4:$J$326,MATCH(H67,'8. Base UE (source TCD)'!$L$4:$L$326,0)),"")</f>
        <v/>
      </c>
      <c r="J67" s="16" t="n"/>
      <c r="K67" s="16" t="n"/>
      <c r="L67" s="36">
        <f>IF(COUNT(J67:K67)=0,"",ROUND(J67*$F$2+K67*$I$2,2))</f>
        <v/>
      </c>
      <c r="M67" s="36">
        <f>IF(L67="","",L67*I67)</f>
        <v/>
      </c>
    </row>
    <row r="68">
      <c r="A68" s="16" t="n">
        <v>64</v>
      </c>
      <c r="B68" s="18" t="n"/>
      <c r="C68" s="18" t="n"/>
      <c r="D68" s="18" t="n"/>
      <c r="E68" s="18" t="n"/>
      <c r="F68" s="18" t="n"/>
      <c r="G68" s="18" t="n"/>
      <c r="H68" s="35">
        <f>IF(OR(E68="",F68="",G68=""),"",E68&amp;"|"&amp;F68&amp;"|"&amp;G68)</f>
        <v/>
      </c>
      <c r="I68" s="36">
        <f>IFERROR(INDEX('8. Base UE (source TCD)'!$J$4:$J$326,MATCH(H68,'8. Base UE (source TCD)'!$L$4:$L$326,0)),"")</f>
        <v/>
      </c>
      <c r="J68" s="17" t="n"/>
      <c r="K68" s="17" t="n"/>
      <c r="L68" s="36">
        <f>IF(COUNT(J68:K68)=0,"",ROUND(J68*$F$2+K68*$I$2,2))</f>
        <v/>
      </c>
      <c r="M68" s="36">
        <f>IF(L68="","",L68*I68)</f>
        <v/>
      </c>
    </row>
    <row r="69">
      <c r="A69" s="16" t="n">
        <v>65</v>
      </c>
      <c r="B69" s="4" t="n"/>
      <c r="C69" s="4" t="n"/>
      <c r="D69" s="4" t="n"/>
      <c r="E69" s="4" t="n"/>
      <c r="F69" s="4" t="n"/>
      <c r="G69" s="4" t="n"/>
      <c r="H69" s="35">
        <f>IF(OR(E69="",F69="",G69=""),"",E69&amp;"|"&amp;F69&amp;"|"&amp;G69)</f>
        <v/>
      </c>
      <c r="I69" s="36">
        <f>IFERROR(INDEX('8. Base UE (source TCD)'!$J$4:$J$326,MATCH(H69,'8. Base UE (source TCD)'!$L$4:$L$326,0)),"")</f>
        <v/>
      </c>
      <c r="J69" s="16" t="n"/>
      <c r="K69" s="16" t="n"/>
      <c r="L69" s="36">
        <f>IF(COUNT(J69:K69)=0,"",ROUND(J69*$F$2+K69*$I$2,2))</f>
        <v/>
      </c>
      <c r="M69" s="36">
        <f>IF(L69="","",L69*I69)</f>
        <v/>
      </c>
    </row>
    <row r="70">
      <c r="A70" s="16" t="n">
        <v>66</v>
      </c>
      <c r="B70" s="18" t="n"/>
      <c r="C70" s="18" t="n"/>
      <c r="D70" s="18" t="n"/>
      <c r="E70" s="18" t="n"/>
      <c r="F70" s="18" t="n"/>
      <c r="G70" s="18" t="n"/>
      <c r="H70" s="35">
        <f>IF(OR(E70="",F70="",G70=""),"",E70&amp;"|"&amp;F70&amp;"|"&amp;G70)</f>
        <v/>
      </c>
      <c r="I70" s="36">
        <f>IFERROR(INDEX('8. Base UE (source TCD)'!$J$4:$J$326,MATCH(H70,'8. Base UE (source TCD)'!$L$4:$L$326,0)),"")</f>
        <v/>
      </c>
      <c r="J70" s="17" t="n"/>
      <c r="K70" s="17" t="n"/>
      <c r="L70" s="36">
        <f>IF(COUNT(J70:K70)=0,"",ROUND(J70*$F$2+K70*$I$2,2))</f>
        <v/>
      </c>
      <c r="M70" s="36">
        <f>IF(L70="","",L70*I70)</f>
        <v/>
      </c>
    </row>
    <row r="71">
      <c r="A71" s="16" t="n">
        <v>67</v>
      </c>
      <c r="B71" s="4" t="n"/>
      <c r="C71" s="4" t="n"/>
      <c r="D71" s="4" t="n"/>
      <c r="E71" s="4" t="n"/>
      <c r="F71" s="4" t="n"/>
      <c r="G71" s="4" t="n"/>
      <c r="H71" s="35">
        <f>IF(OR(E71="",F71="",G71=""),"",E71&amp;"|"&amp;F71&amp;"|"&amp;G71)</f>
        <v/>
      </c>
      <c r="I71" s="36">
        <f>IFERROR(INDEX('8. Base UE (source TCD)'!$J$4:$J$326,MATCH(H71,'8. Base UE (source TCD)'!$L$4:$L$326,0)),"")</f>
        <v/>
      </c>
      <c r="J71" s="16" t="n"/>
      <c r="K71" s="16" t="n"/>
      <c r="L71" s="36">
        <f>IF(COUNT(J71:K71)=0,"",ROUND(J71*$F$2+K71*$I$2,2))</f>
        <v/>
      </c>
      <c r="M71" s="36">
        <f>IF(L71="","",L71*I71)</f>
        <v/>
      </c>
    </row>
    <row r="72">
      <c r="A72" s="16" t="n">
        <v>68</v>
      </c>
      <c r="B72" s="18" t="n"/>
      <c r="C72" s="18" t="n"/>
      <c r="D72" s="18" t="n"/>
      <c r="E72" s="18" t="n"/>
      <c r="F72" s="18" t="n"/>
      <c r="G72" s="18" t="n"/>
      <c r="H72" s="35">
        <f>IF(OR(E72="",F72="",G72=""),"",E72&amp;"|"&amp;F72&amp;"|"&amp;G72)</f>
        <v/>
      </c>
      <c r="I72" s="36">
        <f>IFERROR(INDEX('8. Base UE (source TCD)'!$J$4:$J$326,MATCH(H72,'8. Base UE (source TCD)'!$L$4:$L$326,0)),"")</f>
        <v/>
      </c>
      <c r="J72" s="17" t="n"/>
      <c r="K72" s="17" t="n"/>
      <c r="L72" s="36">
        <f>IF(COUNT(J72:K72)=0,"",ROUND(J72*$F$2+K72*$I$2,2))</f>
        <v/>
      </c>
      <c r="M72" s="36">
        <f>IF(L72="","",L72*I72)</f>
        <v/>
      </c>
    </row>
    <row r="73">
      <c r="A73" s="16" t="n">
        <v>69</v>
      </c>
      <c r="B73" s="4" t="n"/>
      <c r="C73" s="4" t="n"/>
      <c r="D73" s="4" t="n"/>
      <c r="E73" s="4" t="n"/>
      <c r="F73" s="4" t="n"/>
      <c r="G73" s="4" t="n"/>
      <c r="H73" s="35">
        <f>IF(OR(E73="",F73="",G73=""),"",E73&amp;"|"&amp;F73&amp;"|"&amp;G73)</f>
        <v/>
      </c>
      <c r="I73" s="36">
        <f>IFERROR(INDEX('8. Base UE (source TCD)'!$J$4:$J$326,MATCH(H73,'8. Base UE (source TCD)'!$L$4:$L$326,0)),"")</f>
        <v/>
      </c>
      <c r="J73" s="16" t="n"/>
      <c r="K73" s="16" t="n"/>
      <c r="L73" s="36">
        <f>IF(COUNT(J73:K73)=0,"",ROUND(J73*$F$2+K73*$I$2,2))</f>
        <v/>
      </c>
      <c r="M73" s="36">
        <f>IF(L73="","",L73*I73)</f>
        <v/>
      </c>
    </row>
    <row r="74">
      <c r="A74" s="16" t="n">
        <v>70</v>
      </c>
      <c r="B74" s="18" t="n"/>
      <c r="C74" s="18" t="n"/>
      <c r="D74" s="18" t="n"/>
      <c r="E74" s="18" t="n"/>
      <c r="F74" s="18" t="n"/>
      <c r="G74" s="18" t="n"/>
      <c r="H74" s="35">
        <f>IF(OR(E74="",F74="",G74=""),"",E74&amp;"|"&amp;F74&amp;"|"&amp;G74)</f>
        <v/>
      </c>
      <c r="I74" s="36">
        <f>IFERROR(INDEX('8. Base UE (source TCD)'!$J$4:$J$326,MATCH(H74,'8. Base UE (source TCD)'!$L$4:$L$326,0)),"")</f>
        <v/>
      </c>
      <c r="J74" s="17" t="n"/>
      <c r="K74" s="17" t="n"/>
      <c r="L74" s="36">
        <f>IF(COUNT(J74:K74)=0,"",ROUND(J74*$F$2+K74*$I$2,2))</f>
        <v/>
      </c>
      <c r="M74" s="36">
        <f>IF(L74="","",L74*I74)</f>
        <v/>
      </c>
    </row>
    <row r="75">
      <c r="A75" s="16" t="n">
        <v>71</v>
      </c>
      <c r="B75" s="4" t="n"/>
      <c r="C75" s="4" t="n"/>
      <c r="D75" s="4" t="n"/>
      <c r="E75" s="4" t="n"/>
      <c r="F75" s="4" t="n"/>
      <c r="G75" s="4" t="n"/>
      <c r="H75" s="35">
        <f>IF(OR(E75="",F75="",G75=""),"",E75&amp;"|"&amp;F75&amp;"|"&amp;G75)</f>
        <v/>
      </c>
      <c r="I75" s="36">
        <f>IFERROR(INDEX('8. Base UE (source TCD)'!$J$4:$J$326,MATCH(H75,'8. Base UE (source TCD)'!$L$4:$L$326,0)),"")</f>
        <v/>
      </c>
      <c r="J75" s="16" t="n"/>
      <c r="K75" s="16" t="n"/>
      <c r="L75" s="36">
        <f>IF(COUNT(J75:K75)=0,"",ROUND(J75*$F$2+K75*$I$2,2))</f>
        <v/>
      </c>
      <c r="M75" s="36">
        <f>IF(L75="","",L75*I75)</f>
        <v/>
      </c>
    </row>
    <row r="76">
      <c r="A76" s="16" t="n">
        <v>72</v>
      </c>
      <c r="B76" s="18" t="n"/>
      <c r="C76" s="18" t="n"/>
      <c r="D76" s="18" t="n"/>
      <c r="E76" s="18" t="n"/>
      <c r="F76" s="18" t="n"/>
      <c r="G76" s="18" t="n"/>
      <c r="H76" s="35">
        <f>IF(OR(E76="",F76="",G76=""),"",E76&amp;"|"&amp;F76&amp;"|"&amp;G76)</f>
        <v/>
      </c>
      <c r="I76" s="36">
        <f>IFERROR(INDEX('8. Base UE (source TCD)'!$J$4:$J$326,MATCH(H76,'8. Base UE (source TCD)'!$L$4:$L$326,0)),"")</f>
        <v/>
      </c>
      <c r="J76" s="17" t="n"/>
      <c r="K76" s="17" t="n"/>
      <c r="L76" s="36">
        <f>IF(COUNT(J76:K76)=0,"",ROUND(J76*$F$2+K76*$I$2,2))</f>
        <v/>
      </c>
      <c r="M76" s="36">
        <f>IF(L76="","",L76*I76)</f>
        <v/>
      </c>
    </row>
    <row r="77">
      <c r="A77" s="16" t="n">
        <v>73</v>
      </c>
      <c r="B77" s="4" t="n"/>
      <c r="C77" s="4" t="n"/>
      <c r="D77" s="4" t="n"/>
      <c r="E77" s="4" t="n"/>
      <c r="F77" s="4" t="n"/>
      <c r="G77" s="4" t="n"/>
      <c r="H77" s="35">
        <f>IF(OR(E77="",F77="",G77=""),"",E77&amp;"|"&amp;F77&amp;"|"&amp;G77)</f>
        <v/>
      </c>
      <c r="I77" s="36">
        <f>IFERROR(INDEX('8. Base UE (source TCD)'!$J$4:$J$326,MATCH(H77,'8. Base UE (source TCD)'!$L$4:$L$326,0)),"")</f>
        <v/>
      </c>
      <c r="J77" s="16" t="n"/>
      <c r="K77" s="16" t="n"/>
      <c r="L77" s="36">
        <f>IF(COUNT(J77:K77)=0,"",ROUND(J77*$F$2+K77*$I$2,2))</f>
        <v/>
      </c>
      <c r="M77" s="36">
        <f>IF(L77="","",L77*I77)</f>
        <v/>
      </c>
    </row>
    <row r="78">
      <c r="A78" s="16" t="n">
        <v>74</v>
      </c>
      <c r="B78" s="18" t="n"/>
      <c r="C78" s="18" t="n"/>
      <c r="D78" s="18" t="n"/>
      <c r="E78" s="18" t="n"/>
      <c r="F78" s="18" t="n"/>
      <c r="G78" s="18" t="n"/>
      <c r="H78" s="35">
        <f>IF(OR(E78="",F78="",G78=""),"",E78&amp;"|"&amp;F78&amp;"|"&amp;G78)</f>
        <v/>
      </c>
      <c r="I78" s="36">
        <f>IFERROR(INDEX('8. Base UE (source TCD)'!$J$4:$J$326,MATCH(H78,'8. Base UE (source TCD)'!$L$4:$L$326,0)),"")</f>
        <v/>
      </c>
      <c r="J78" s="17" t="n"/>
      <c r="K78" s="17" t="n"/>
      <c r="L78" s="36">
        <f>IF(COUNT(J78:K78)=0,"",ROUND(J78*$F$2+K78*$I$2,2))</f>
        <v/>
      </c>
      <c r="M78" s="36">
        <f>IF(L78="","",L78*I78)</f>
        <v/>
      </c>
    </row>
    <row r="79">
      <c r="A79" s="16" t="n">
        <v>75</v>
      </c>
      <c r="B79" s="4" t="n"/>
      <c r="C79" s="4" t="n"/>
      <c r="D79" s="4" t="n"/>
      <c r="E79" s="4" t="n"/>
      <c r="F79" s="4" t="n"/>
      <c r="G79" s="4" t="n"/>
      <c r="H79" s="35">
        <f>IF(OR(E79="",F79="",G79=""),"",E79&amp;"|"&amp;F79&amp;"|"&amp;G79)</f>
        <v/>
      </c>
      <c r="I79" s="36">
        <f>IFERROR(INDEX('8. Base UE (source TCD)'!$J$4:$J$326,MATCH(H79,'8. Base UE (source TCD)'!$L$4:$L$326,0)),"")</f>
        <v/>
      </c>
      <c r="J79" s="16" t="n"/>
      <c r="K79" s="16" t="n"/>
      <c r="L79" s="36">
        <f>IF(COUNT(J79:K79)=0,"",ROUND(J79*$F$2+K79*$I$2,2))</f>
        <v/>
      </c>
      <c r="M79" s="36">
        <f>IF(L79="","",L79*I79)</f>
        <v/>
      </c>
    </row>
    <row r="80">
      <c r="A80" s="16" t="n">
        <v>76</v>
      </c>
      <c r="B80" s="18" t="n"/>
      <c r="C80" s="18" t="n"/>
      <c r="D80" s="18" t="n"/>
      <c r="E80" s="18" t="n"/>
      <c r="F80" s="18" t="n"/>
      <c r="G80" s="18" t="n"/>
      <c r="H80" s="35">
        <f>IF(OR(E80="",F80="",G80=""),"",E80&amp;"|"&amp;F80&amp;"|"&amp;G80)</f>
        <v/>
      </c>
      <c r="I80" s="36">
        <f>IFERROR(INDEX('8. Base UE (source TCD)'!$J$4:$J$326,MATCH(H80,'8. Base UE (source TCD)'!$L$4:$L$326,0)),"")</f>
        <v/>
      </c>
      <c r="J80" s="17" t="n"/>
      <c r="K80" s="17" t="n"/>
      <c r="L80" s="36">
        <f>IF(COUNT(J80:K80)=0,"",ROUND(J80*$F$2+K80*$I$2,2))</f>
        <v/>
      </c>
      <c r="M80" s="36">
        <f>IF(L80="","",L80*I80)</f>
        <v/>
      </c>
    </row>
    <row r="81">
      <c r="A81" s="16" t="n">
        <v>77</v>
      </c>
      <c r="B81" s="4" t="n"/>
      <c r="C81" s="4" t="n"/>
      <c r="D81" s="4" t="n"/>
      <c r="E81" s="4" t="n"/>
      <c r="F81" s="4" t="n"/>
      <c r="G81" s="4" t="n"/>
      <c r="H81" s="35">
        <f>IF(OR(E81="",F81="",G81=""),"",E81&amp;"|"&amp;F81&amp;"|"&amp;G81)</f>
        <v/>
      </c>
      <c r="I81" s="36">
        <f>IFERROR(INDEX('8. Base UE (source TCD)'!$J$4:$J$326,MATCH(H81,'8. Base UE (source TCD)'!$L$4:$L$326,0)),"")</f>
        <v/>
      </c>
      <c r="J81" s="16" t="n"/>
      <c r="K81" s="16" t="n"/>
      <c r="L81" s="36">
        <f>IF(COUNT(J81:K81)=0,"",ROUND(J81*$F$2+K81*$I$2,2))</f>
        <v/>
      </c>
      <c r="M81" s="36">
        <f>IF(L81="","",L81*I81)</f>
        <v/>
      </c>
    </row>
    <row r="82">
      <c r="A82" s="16" t="n">
        <v>78</v>
      </c>
      <c r="B82" s="18" t="n"/>
      <c r="C82" s="18" t="n"/>
      <c r="D82" s="18" t="n"/>
      <c r="E82" s="18" t="n"/>
      <c r="F82" s="18" t="n"/>
      <c r="G82" s="18" t="n"/>
      <c r="H82" s="35">
        <f>IF(OR(E82="",F82="",G82=""),"",E82&amp;"|"&amp;F82&amp;"|"&amp;G82)</f>
        <v/>
      </c>
      <c r="I82" s="36">
        <f>IFERROR(INDEX('8. Base UE (source TCD)'!$J$4:$J$326,MATCH(H82,'8. Base UE (source TCD)'!$L$4:$L$326,0)),"")</f>
        <v/>
      </c>
      <c r="J82" s="17" t="n"/>
      <c r="K82" s="17" t="n"/>
      <c r="L82" s="36">
        <f>IF(COUNT(J82:K82)=0,"",ROUND(J82*$F$2+K82*$I$2,2))</f>
        <v/>
      </c>
      <c r="M82" s="36">
        <f>IF(L82="","",L82*I82)</f>
        <v/>
      </c>
    </row>
    <row r="83">
      <c r="A83" s="16" t="n">
        <v>79</v>
      </c>
      <c r="B83" s="4" t="n"/>
      <c r="C83" s="4" t="n"/>
      <c r="D83" s="4" t="n"/>
      <c r="E83" s="4" t="n"/>
      <c r="F83" s="4" t="n"/>
      <c r="G83" s="4" t="n"/>
      <c r="H83" s="35">
        <f>IF(OR(E83="",F83="",G83=""),"",E83&amp;"|"&amp;F83&amp;"|"&amp;G83)</f>
        <v/>
      </c>
      <c r="I83" s="36">
        <f>IFERROR(INDEX('8. Base UE (source TCD)'!$J$4:$J$326,MATCH(H83,'8. Base UE (source TCD)'!$L$4:$L$326,0)),"")</f>
        <v/>
      </c>
      <c r="J83" s="16" t="n"/>
      <c r="K83" s="16" t="n"/>
      <c r="L83" s="36">
        <f>IF(COUNT(J83:K83)=0,"",ROUND(J83*$F$2+K83*$I$2,2))</f>
        <v/>
      </c>
      <c r="M83" s="36">
        <f>IF(L83="","",L83*I83)</f>
        <v/>
      </c>
    </row>
    <row r="84">
      <c r="A84" s="16" t="n">
        <v>80</v>
      </c>
      <c r="B84" s="18" t="n"/>
      <c r="C84" s="18" t="n"/>
      <c r="D84" s="18" t="n"/>
      <c r="E84" s="18" t="n"/>
      <c r="F84" s="18" t="n"/>
      <c r="G84" s="18" t="n"/>
      <c r="H84" s="35">
        <f>IF(OR(E84="",F84="",G84=""),"",E84&amp;"|"&amp;F84&amp;"|"&amp;G84)</f>
        <v/>
      </c>
      <c r="I84" s="36">
        <f>IFERROR(INDEX('8. Base UE (source TCD)'!$J$4:$J$326,MATCH(H84,'8. Base UE (source TCD)'!$L$4:$L$326,0)),"")</f>
        <v/>
      </c>
      <c r="J84" s="17" t="n"/>
      <c r="K84" s="17" t="n"/>
      <c r="L84" s="36">
        <f>IF(COUNT(J84:K84)=0,"",ROUND(J84*$F$2+K84*$I$2,2))</f>
        <v/>
      </c>
      <c r="M84" s="36">
        <f>IF(L84="","",L84*I84)</f>
        <v/>
      </c>
    </row>
    <row r="85">
      <c r="A85" s="16" t="n">
        <v>81</v>
      </c>
      <c r="B85" s="4" t="n"/>
      <c r="C85" s="4" t="n"/>
      <c r="D85" s="4" t="n"/>
      <c r="E85" s="4" t="n"/>
      <c r="F85" s="4" t="n"/>
      <c r="G85" s="4" t="n"/>
      <c r="H85" s="35">
        <f>IF(OR(E85="",F85="",G85=""),"",E85&amp;"|"&amp;F85&amp;"|"&amp;G85)</f>
        <v/>
      </c>
      <c r="I85" s="36">
        <f>IFERROR(INDEX('8. Base UE (source TCD)'!$J$4:$J$326,MATCH(H85,'8. Base UE (source TCD)'!$L$4:$L$326,0)),"")</f>
        <v/>
      </c>
      <c r="J85" s="16" t="n"/>
      <c r="K85" s="16" t="n"/>
      <c r="L85" s="36">
        <f>IF(COUNT(J85:K85)=0,"",ROUND(J85*$F$2+K85*$I$2,2))</f>
        <v/>
      </c>
      <c r="M85" s="36">
        <f>IF(L85="","",L85*I85)</f>
        <v/>
      </c>
    </row>
    <row r="86">
      <c r="A86" s="16" t="n">
        <v>82</v>
      </c>
      <c r="B86" s="18" t="n"/>
      <c r="C86" s="18" t="n"/>
      <c r="D86" s="18" t="n"/>
      <c r="E86" s="18" t="n"/>
      <c r="F86" s="18" t="n"/>
      <c r="G86" s="18" t="n"/>
      <c r="H86" s="35">
        <f>IF(OR(E86="",F86="",G86=""),"",E86&amp;"|"&amp;F86&amp;"|"&amp;G86)</f>
        <v/>
      </c>
      <c r="I86" s="36">
        <f>IFERROR(INDEX('8. Base UE (source TCD)'!$J$4:$J$326,MATCH(H86,'8. Base UE (source TCD)'!$L$4:$L$326,0)),"")</f>
        <v/>
      </c>
      <c r="J86" s="17" t="n"/>
      <c r="K86" s="17" t="n"/>
      <c r="L86" s="36">
        <f>IF(COUNT(J86:K86)=0,"",ROUND(J86*$F$2+K86*$I$2,2))</f>
        <v/>
      </c>
      <c r="M86" s="36">
        <f>IF(L86="","",L86*I86)</f>
        <v/>
      </c>
    </row>
    <row r="87">
      <c r="A87" s="16" t="n">
        <v>83</v>
      </c>
      <c r="B87" s="4" t="n"/>
      <c r="C87" s="4" t="n"/>
      <c r="D87" s="4" t="n"/>
      <c r="E87" s="4" t="n"/>
      <c r="F87" s="4" t="n"/>
      <c r="G87" s="4" t="n"/>
      <c r="H87" s="35">
        <f>IF(OR(E87="",F87="",G87=""),"",E87&amp;"|"&amp;F87&amp;"|"&amp;G87)</f>
        <v/>
      </c>
      <c r="I87" s="36">
        <f>IFERROR(INDEX('8. Base UE (source TCD)'!$J$4:$J$326,MATCH(H87,'8. Base UE (source TCD)'!$L$4:$L$326,0)),"")</f>
        <v/>
      </c>
      <c r="J87" s="16" t="n"/>
      <c r="K87" s="16" t="n"/>
      <c r="L87" s="36">
        <f>IF(COUNT(J87:K87)=0,"",ROUND(J87*$F$2+K87*$I$2,2))</f>
        <v/>
      </c>
      <c r="M87" s="36">
        <f>IF(L87="","",L87*I87)</f>
        <v/>
      </c>
    </row>
    <row r="88">
      <c r="A88" s="16" t="n">
        <v>84</v>
      </c>
      <c r="B88" s="18" t="n"/>
      <c r="C88" s="18" t="n"/>
      <c r="D88" s="18" t="n"/>
      <c r="E88" s="18" t="n"/>
      <c r="F88" s="18" t="n"/>
      <c r="G88" s="18" t="n"/>
      <c r="H88" s="35">
        <f>IF(OR(E88="",F88="",G88=""),"",E88&amp;"|"&amp;F88&amp;"|"&amp;G88)</f>
        <v/>
      </c>
      <c r="I88" s="36">
        <f>IFERROR(INDEX('8. Base UE (source TCD)'!$J$4:$J$326,MATCH(H88,'8. Base UE (source TCD)'!$L$4:$L$326,0)),"")</f>
        <v/>
      </c>
      <c r="J88" s="17" t="n"/>
      <c r="K88" s="17" t="n"/>
      <c r="L88" s="36">
        <f>IF(COUNT(J88:K88)=0,"",ROUND(J88*$F$2+K88*$I$2,2))</f>
        <v/>
      </c>
      <c r="M88" s="36">
        <f>IF(L88="","",L88*I88)</f>
        <v/>
      </c>
    </row>
    <row r="89">
      <c r="A89" s="16" t="n">
        <v>85</v>
      </c>
      <c r="B89" s="4" t="n"/>
      <c r="C89" s="4" t="n"/>
      <c r="D89" s="4" t="n"/>
      <c r="E89" s="4" t="n"/>
      <c r="F89" s="4" t="n"/>
      <c r="G89" s="4" t="n"/>
      <c r="H89" s="35">
        <f>IF(OR(E89="",F89="",G89=""),"",E89&amp;"|"&amp;F89&amp;"|"&amp;G89)</f>
        <v/>
      </c>
      <c r="I89" s="36">
        <f>IFERROR(INDEX('8. Base UE (source TCD)'!$J$4:$J$326,MATCH(H89,'8. Base UE (source TCD)'!$L$4:$L$326,0)),"")</f>
        <v/>
      </c>
      <c r="J89" s="16" t="n"/>
      <c r="K89" s="16" t="n"/>
      <c r="L89" s="36">
        <f>IF(COUNT(J89:K89)=0,"",ROUND(J89*$F$2+K89*$I$2,2))</f>
        <v/>
      </c>
      <c r="M89" s="36">
        <f>IF(L89="","",L89*I89)</f>
        <v/>
      </c>
    </row>
    <row r="90">
      <c r="A90" s="16" t="n">
        <v>86</v>
      </c>
      <c r="B90" s="18" t="n"/>
      <c r="C90" s="18" t="n"/>
      <c r="D90" s="18" t="n"/>
      <c r="E90" s="18" t="n"/>
      <c r="F90" s="18" t="n"/>
      <c r="G90" s="18" t="n"/>
      <c r="H90" s="35">
        <f>IF(OR(E90="",F90="",G90=""),"",E90&amp;"|"&amp;F90&amp;"|"&amp;G90)</f>
        <v/>
      </c>
      <c r="I90" s="36">
        <f>IFERROR(INDEX('8. Base UE (source TCD)'!$J$4:$J$326,MATCH(H90,'8. Base UE (source TCD)'!$L$4:$L$326,0)),"")</f>
        <v/>
      </c>
      <c r="J90" s="17" t="n"/>
      <c r="K90" s="17" t="n"/>
      <c r="L90" s="36">
        <f>IF(COUNT(J90:K90)=0,"",ROUND(J90*$F$2+K90*$I$2,2))</f>
        <v/>
      </c>
      <c r="M90" s="36">
        <f>IF(L90="","",L90*I90)</f>
        <v/>
      </c>
    </row>
    <row r="91">
      <c r="A91" s="16" t="n">
        <v>87</v>
      </c>
      <c r="B91" s="4" t="n"/>
      <c r="C91" s="4" t="n"/>
      <c r="D91" s="4" t="n"/>
      <c r="E91" s="4" t="n"/>
      <c r="F91" s="4" t="n"/>
      <c r="G91" s="4" t="n"/>
      <c r="H91" s="35">
        <f>IF(OR(E91="",F91="",G91=""),"",E91&amp;"|"&amp;F91&amp;"|"&amp;G91)</f>
        <v/>
      </c>
      <c r="I91" s="36">
        <f>IFERROR(INDEX('8. Base UE (source TCD)'!$J$4:$J$326,MATCH(H91,'8. Base UE (source TCD)'!$L$4:$L$326,0)),"")</f>
        <v/>
      </c>
      <c r="J91" s="16" t="n"/>
      <c r="K91" s="16" t="n"/>
      <c r="L91" s="36">
        <f>IF(COUNT(J91:K91)=0,"",ROUND(J91*$F$2+K91*$I$2,2))</f>
        <v/>
      </c>
      <c r="M91" s="36">
        <f>IF(L91="","",L91*I91)</f>
        <v/>
      </c>
    </row>
    <row r="92">
      <c r="A92" s="16" t="n">
        <v>88</v>
      </c>
      <c r="B92" s="18" t="n"/>
      <c r="C92" s="18" t="n"/>
      <c r="D92" s="18" t="n"/>
      <c r="E92" s="18" t="n"/>
      <c r="F92" s="18" t="n"/>
      <c r="G92" s="18" t="n"/>
      <c r="H92" s="35">
        <f>IF(OR(E92="",F92="",G92=""),"",E92&amp;"|"&amp;F92&amp;"|"&amp;G92)</f>
        <v/>
      </c>
      <c r="I92" s="36">
        <f>IFERROR(INDEX('8. Base UE (source TCD)'!$J$4:$J$326,MATCH(H92,'8. Base UE (source TCD)'!$L$4:$L$326,0)),"")</f>
        <v/>
      </c>
      <c r="J92" s="17" t="n"/>
      <c r="K92" s="17" t="n"/>
      <c r="L92" s="36">
        <f>IF(COUNT(J92:K92)=0,"",ROUND(J92*$F$2+K92*$I$2,2))</f>
        <v/>
      </c>
      <c r="M92" s="36">
        <f>IF(L92="","",L92*I92)</f>
        <v/>
      </c>
    </row>
    <row r="93">
      <c r="A93" s="16" t="n">
        <v>89</v>
      </c>
      <c r="B93" s="4" t="n"/>
      <c r="C93" s="4" t="n"/>
      <c r="D93" s="4" t="n"/>
      <c r="E93" s="4" t="n"/>
      <c r="F93" s="4" t="n"/>
      <c r="G93" s="4" t="n"/>
      <c r="H93" s="35">
        <f>IF(OR(E93="",F93="",G93=""),"",E93&amp;"|"&amp;F93&amp;"|"&amp;G93)</f>
        <v/>
      </c>
      <c r="I93" s="36">
        <f>IFERROR(INDEX('8. Base UE (source TCD)'!$J$4:$J$326,MATCH(H93,'8. Base UE (source TCD)'!$L$4:$L$326,0)),"")</f>
        <v/>
      </c>
      <c r="J93" s="16" t="n"/>
      <c r="K93" s="16" t="n"/>
      <c r="L93" s="36">
        <f>IF(COUNT(J93:K93)=0,"",ROUND(J93*$F$2+K93*$I$2,2))</f>
        <v/>
      </c>
      <c r="M93" s="36">
        <f>IF(L93="","",L93*I93)</f>
        <v/>
      </c>
    </row>
    <row r="94">
      <c r="A94" s="16" t="n">
        <v>90</v>
      </c>
      <c r="B94" s="18" t="n"/>
      <c r="C94" s="18" t="n"/>
      <c r="D94" s="18" t="n"/>
      <c r="E94" s="18" t="n"/>
      <c r="F94" s="18" t="n"/>
      <c r="G94" s="18" t="n"/>
      <c r="H94" s="35">
        <f>IF(OR(E94="",F94="",G94=""),"",E94&amp;"|"&amp;F94&amp;"|"&amp;G94)</f>
        <v/>
      </c>
      <c r="I94" s="36">
        <f>IFERROR(INDEX('8. Base UE (source TCD)'!$J$4:$J$326,MATCH(H94,'8. Base UE (source TCD)'!$L$4:$L$326,0)),"")</f>
        <v/>
      </c>
      <c r="J94" s="17" t="n"/>
      <c r="K94" s="17" t="n"/>
      <c r="L94" s="36">
        <f>IF(COUNT(J94:K94)=0,"",ROUND(J94*$F$2+K94*$I$2,2))</f>
        <v/>
      </c>
      <c r="M94" s="36">
        <f>IF(L94="","",L94*I94)</f>
        <v/>
      </c>
    </row>
    <row r="95">
      <c r="A95" s="16" t="n">
        <v>91</v>
      </c>
      <c r="B95" s="4" t="n"/>
      <c r="C95" s="4" t="n"/>
      <c r="D95" s="4" t="n"/>
      <c r="E95" s="4" t="n"/>
      <c r="F95" s="4" t="n"/>
      <c r="G95" s="4" t="n"/>
      <c r="H95" s="35">
        <f>IF(OR(E95="",F95="",G95=""),"",E95&amp;"|"&amp;F95&amp;"|"&amp;G95)</f>
        <v/>
      </c>
      <c r="I95" s="36">
        <f>IFERROR(INDEX('8. Base UE (source TCD)'!$J$4:$J$326,MATCH(H95,'8. Base UE (source TCD)'!$L$4:$L$326,0)),"")</f>
        <v/>
      </c>
      <c r="J95" s="16" t="n"/>
      <c r="K95" s="16" t="n"/>
      <c r="L95" s="36">
        <f>IF(COUNT(J95:K95)=0,"",ROUND(J95*$F$2+K95*$I$2,2))</f>
        <v/>
      </c>
      <c r="M95" s="36">
        <f>IF(L95="","",L95*I95)</f>
        <v/>
      </c>
    </row>
    <row r="96">
      <c r="A96" s="16" t="n">
        <v>92</v>
      </c>
      <c r="B96" s="18" t="n"/>
      <c r="C96" s="18" t="n"/>
      <c r="D96" s="18" t="n"/>
      <c r="E96" s="18" t="n"/>
      <c r="F96" s="18" t="n"/>
      <c r="G96" s="18" t="n"/>
      <c r="H96" s="35">
        <f>IF(OR(E96="",F96="",G96=""),"",E96&amp;"|"&amp;F96&amp;"|"&amp;G96)</f>
        <v/>
      </c>
      <c r="I96" s="36">
        <f>IFERROR(INDEX('8. Base UE (source TCD)'!$J$4:$J$326,MATCH(H96,'8. Base UE (source TCD)'!$L$4:$L$326,0)),"")</f>
        <v/>
      </c>
      <c r="J96" s="17" t="n"/>
      <c r="K96" s="17" t="n"/>
      <c r="L96" s="36">
        <f>IF(COUNT(J96:K96)=0,"",ROUND(J96*$F$2+K96*$I$2,2))</f>
        <v/>
      </c>
      <c r="M96" s="36">
        <f>IF(L96="","",L96*I96)</f>
        <v/>
      </c>
    </row>
    <row r="97">
      <c r="A97" s="16" t="n">
        <v>93</v>
      </c>
      <c r="B97" s="4" t="n"/>
      <c r="C97" s="4" t="n"/>
      <c r="D97" s="4" t="n"/>
      <c r="E97" s="4" t="n"/>
      <c r="F97" s="4" t="n"/>
      <c r="G97" s="4" t="n"/>
      <c r="H97" s="35">
        <f>IF(OR(E97="",F97="",G97=""),"",E97&amp;"|"&amp;F97&amp;"|"&amp;G97)</f>
        <v/>
      </c>
      <c r="I97" s="36">
        <f>IFERROR(INDEX('8. Base UE (source TCD)'!$J$4:$J$326,MATCH(H97,'8. Base UE (source TCD)'!$L$4:$L$326,0)),"")</f>
        <v/>
      </c>
      <c r="J97" s="16" t="n"/>
      <c r="K97" s="16" t="n"/>
      <c r="L97" s="36">
        <f>IF(COUNT(J97:K97)=0,"",ROUND(J97*$F$2+K97*$I$2,2))</f>
        <v/>
      </c>
      <c r="M97" s="36">
        <f>IF(L97="","",L97*I97)</f>
        <v/>
      </c>
    </row>
    <row r="98">
      <c r="A98" s="16" t="n">
        <v>94</v>
      </c>
      <c r="B98" s="18" t="n"/>
      <c r="C98" s="18" t="n"/>
      <c r="D98" s="18" t="n"/>
      <c r="E98" s="18" t="n"/>
      <c r="F98" s="18" t="n"/>
      <c r="G98" s="18" t="n"/>
      <c r="H98" s="35">
        <f>IF(OR(E98="",F98="",G98=""),"",E98&amp;"|"&amp;F98&amp;"|"&amp;G98)</f>
        <v/>
      </c>
      <c r="I98" s="36">
        <f>IFERROR(INDEX('8. Base UE (source TCD)'!$J$4:$J$326,MATCH(H98,'8. Base UE (source TCD)'!$L$4:$L$326,0)),"")</f>
        <v/>
      </c>
      <c r="J98" s="17" t="n"/>
      <c r="K98" s="17" t="n"/>
      <c r="L98" s="36">
        <f>IF(COUNT(J98:K98)=0,"",ROUND(J98*$F$2+K98*$I$2,2))</f>
        <v/>
      </c>
      <c r="M98" s="36">
        <f>IF(L98="","",L98*I98)</f>
        <v/>
      </c>
    </row>
    <row r="99">
      <c r="A99" s="16" t="n">
        <v>95</v>
      </c>
      <c r="B99" s="4" t="n"/>
      <c r="C99" s="4" t="n"/>
      <c r="D99" s="4" t="n"/>
      <c r="E99" s="4" t="n"/>
      <c r="F99" s="4" t="n"/>
      <c r="G99" s="4" t="n"/>
      <c r="H99" s="35">
        <f>IF(OR(E99="",F99="",G99=""),"",E99&amp;"|"&amp;F99&amp;"|"&amp;G99)</f>
        <v/>
      </c>
      <c r="I99" s="36">
        <f>IFERROR(INDEX('8. Base UE (source TCD)'!$J$4:$J$326,MATCH(H99,'8. Base UE (source TCD)'!$L$4:$L$326,0)),"")</f>
        <v/>
      </c>
      <c r="J99" s="16" t="n"/>
      <c r="K99" s="16" t="n"/>
      <c r="L99" s="36">
        <f>IF(COUNT(J99:K99)=0,"",ROUND(J99*$F$2+K99*$I$2,2))</f>
        <v/>
      </c>
      <c r="M99" s="36">
        <f>IF(L99="","",L99*I99)</f>
        <v/>
      </c>
    </row>
    <row r="100">
      <c r="A100" s="16" t="n">
        <v>96</v>
      </c>
      <c r="B100" s="18" t="n"/>
      <c r="C100" s="18" t="n"/>
      <c r="D100" s="18" t="n"/>
      <c r="E100" s="18" t="n"/>
      <c r="F100" s="18" t="n"/>
      <c r="G100" s="18" t="n"/>
      <c r="H100" s="35">
        <f>IF(OR(E100="",F100="",G100=""),"",E100&amp;"|"&amp;F100&amp;"|"&amp;G100)</f>
        <v/>
      </c>
      <c r="I100" s="36">
        <f>IFERROR(INDEX('8. Base UE (source TCD)'!$J$4:$J$326,MATCH(H100,'8. Base UE (source TCD)'!$L$4:$L$326,0)),"")</f>
        <v/>
      </c>
      <c r="J100" s="17" t="n"/>
      <c r="K100" s="17" t="n"/>
      <c r="L100" s="36">
        <f>IF(COUNT(J100:K100)=0,"",ROUND(J100*$F$2+K100*$I$2,2))</f>
        <v/>
      </c>
      <c r="M100" s="36">
        <f>IF(L100="","",L100*I100)</f>
        <v/>
      </c>
    </row>
    <row r="101">
      <c r="A101" s="16" t="n">
        <v>97</v>
      </c>
      <c r="B101" s="4" t="n"/>
      <c r="C101" s="4" t="n"/>
      <c r="D101" s="4" t="n"/>
      <c r="E101" s="4" t="n"/>
      <c r="F101" s="4" t="n"/>
      <c r="G101" s="4" t="n"/>
      <c r="H101" s="35">
        <f>IF(OR(E101="",F101="",G101=""),"",E101&amp;"|"&amp;F101&amp;"|"&amp;G101)</f>
        <v/>
      </c>
      <c r="I101" s="36">
        <f>IFERROR(INDEX('8. Base UE (source TCD)'!$J$4:$J$326,MATCH(H101,'8. Base UE (source TCD)'!$L$4:$L$326,0)),"")</f>
        <v/>
      </c>
      <c r="J101" s="16" t="n"/>
      <c r="K101" s="16" t="n"/>
      <c r="L101" s="36">
        <f>IF(COUNT(J101:K101)=0,"",ROUND(J101*$F$2+K101*$I$2,2))</f>
        <v/>
      </c>
      <c r="M101" s="36">
        <f>IF(L101="","",L101*I101)</f>
        <v/>
      </c>
    </row>
    <row r="102">
      <c r="A102" s="16" t="n">
        <v>98</v>
      </c>
      <c r="B102" s="18" t="n"/>
      <c r="C102" s="18" t="n"/>
      <c r="D102" s="18" t="n"/>
      <c r="E102" s="18" t="n"/>
      <c r="F102" s="18" t="n"/>
      <c r="G102" s="18" t="n"/>
      <c r="H102" s="35">
        <f>IF(OR(E102="",F102="",G102=""),"",E102&amp;"|"&amp;F102&amp;"|"&amp;G102)</f>
        <v/>
      </c>
      <c r="I102" s="36">
        <f>IFERROR(INDEX('8. Base UE (source TCD)'!$J$4:$J$326,MATCH(H102,'8. Base UE (source TCD)'!$L$4:$L$326,0)),"")</f>
        <v/>
      </c>
      <c r="J102" s="17" t="n"/>
      <c r="K102" s="17" t="n"/>
      <c r="L102" s="36">
        <f>IF(COUNT(J102:K102)=0,"",ROUND(J102*$F$2+K102*$I$2,2))</f>
        <v/>
      </c>
      <c r="M102" s="36">
        <f>IF(L102="","",L102*I102)</f>
        <v/>
      </c>
    </row>
    <row r="103">
      <c r="A103" s="16" t="n">
        <v>99</v>
      </c>
      <c r="B103" s="4" t="n"/>
      <c r="C103" s="4" t="n"/>
      <c r="D103" s="4" t="n"/>
      <c r="E103" s="4" t="n"/>
      <c r="F103" s="4" t="n"/>
      <c r="G103" s="4" t="n"/>
      <c r="H103" s="35">
        <f>IF(OR(E103="",F103="",G103=""),"",E103&amp;"|"&amp;F103&amp;"|"&amp;G103)</f>
        <v/>
      </c>
      <c r="I103" s="36">
        <f>IFERROR(INDEX('8. Base UE (source TCD)'!$J$4:$J$326,MATCH(H103,'8. Base UE (source TCD)'!$L$4:$L$326,0)),"")</f>
        <v/>
      </c>
      <c r="J103" s="16" t="n"/>
      <c r="K103" s="16" t="n"/>
      <c r="L103" s="36">
        <f>IF(COUNT(J103:K103)=0,"",ROUND(J103*$F$2+K103*$I$2,2))</f>
        <v/>
      </c>
      <c r="M103" s="36">
        <f>IF(L103="","",L103*I103)</f>
        <v/>
      </c>
    </row>
    <row r="104">
      <c r="A104" s="16" t="n">
        <v>100</v>
      </c>
      <c r="B104" s="18" t="n"/>
      <c r="C104" s="18" t="n"/>
      <c r="D104" s="18" t="n"/>
      <c r="E104" s="18" t="n"/>
      <c r="F104" s="18" t="n"/>
      <c r="G104" s="18" t="n"/>
      <c r="H104" s="35">
        <f>IF(OR(E104="",F104="",G104=""),"",E104&amp;"|"&amp;F104&amp;"|"&amp;G104)</f>
        <v/>
      </c>
      <c r="I104" s="36">
        <f>IFERROR(INDEX('8. Base UE (source TCD)'!$J$4:$J$326,MATCH(H104,'8. Base UE (source TCD)'!$L$4:$L$326,0)),"")</f>
        <v/>
      </c>
      <c r="J104" s="17" t="n"/>
      <c r="K104" s="17" t="n"/>
      <c r="L104" s="36">
        <f>IF(COUNT(J104:K104)=0,"",ROUND(J104*$F$2+K104*$I$2,2))</f>
        <v/>
      </c>
      <c r="M104" s="36">
        <f>IF(L104="","",L104*I104)</f>
        <v/>
      </c>
    </row>
    <row r="105">
      <c r="A105" s="16" t="n">
        <v>101</v>
      </c>
      <c r="B105" s="4" t="n"/>
      <c r="C105" s="4" t="n"/>
      <c r="D105" s="4" t="n"/>
      <c r="E105" s="4" t="n"/>
      <c r="F105" s="4" t="n"/>
      <c r="G105" s="4" t="n"/>
      <c r="H105" s="35">
        <f>IF(OR(E105="",F105="",G105=""),"",E105&amp;"|"&amp;F105&amp;"|"&amp;G105)</f>
        <v/>
      </c>
      <c r="I105" s="36">
        <f>IFERROR(INDEX('8. Base UE (source TCD)'!$J$4:$J$326,MATCH(H105,'8. Base UE (source TCD)'!$L$4:$L$326,0)),"")</f>
        <v/>
      </c>
      <c r="J105" s="16" t="n"/>
      <c r="K105" s="16" t="n"/>
      <c r="L105" s="36">
        <f>IF(COUNT(J105:K105)=0,"",ROUND(J105*$F$2+K105*$I$2,2))</f>
        <v/>
      </c>
      <c r="M105" s="36">
        <f>IF(L105="","",L105*I105)</f>
        <v/>
      </c>
    </row>
    <row r="106">
      <c r="A106" s="16" t="n">
        <v>102</v>
      </c>
      <c r="B106" s="18" t="n"/>
      <c r="C106" s="18" t="n"/>
      <c r="D106" s="18" t="n"/>
      <c r="E106" s="18" t="n"/>
      <c r="F106" s="18" t="n"/>
      <c r="G106" s="18" t="n"/>
      <c r="H106" s="35">
        <f>IF(OR(E106="",F106="",G106=""),"",E106&amp;"|"&amp;F106&amp;"|"&amp;G106)</f>
        <v/>
      </c>
      <c r="I106" s="36">
        <f>IFERROR(INDEX('8. Base UE (source TCD)'!$J$4:$J$326,MATCH(H106,'8. Base UE (source TCD)'!$L$4:$L$326,0)),"")</f>
        <v/>
      </c>
      <c r="J106" s="17" t="n"/>
      <c r="K106" s="17" t="n"/>
      <c r="L106" s="36">
        <f>IF(COUNT(J106:K106)=0,"",ROUND(J106*$F$2+K106*$I$2,2))</f>
        <v/>
      </c>
      <c r="M106" s="36">
        <f>IF(L106="","",L106*I106)</f>
        <v/>
      </c>
    </row>
    <row r="107">
      <c r="A107" s="16" t="n">
        <v>103</v>
      </c>
      <c r="B107" s="4" t="n"/>
      <c r="C107" s="4" t="n"/>
      <c r="D107" s="4" t="n"/>
      <c r="E107" s="4" t="n"/>
      <c r="F107" s="4" t="n"/>
      <c r="G107" s="4" t="n"/>
      <c r="H107" s="35">
        <f>IF(OR(E107="",F107="",G107=""),"",E107&amp;"|"&amp;F107&amp;"|"&amp;G107)</f>
        <v/>
      </c>
      <c r="I107" s="36">
        <f>IFERROR(INDEX('8. Base UE (source TCD)'!$J$4:$J$326,MATCH(H107,'8. Base UE (source TCD)'!$L$4:$L$326,0)),"")</f>
        <v/>
      </c>
      <c r="J107" s="16" t="n"/>
      <c r="K107" s="16" t="n"/>
      <c r="L107" s="36">
        <f>IF(COUNT(J107:K107)=0,"",ROUND(J107*$F$2+K107*$I$2,2))</f>
        <v/>
      </c>
      <c r="M107" s="36">
        <f>IF(L107="","",L107*I107)</f>
        <v/>
      </c>
    </row>
    <row r="108">
      <c r="A108" s="16" t="n">
        <v>104</v>
      </c>
      <c r="B108" s="18" t="n"/>
      <c r="C108" s="18" t="n"/>
      <c r="D108" s="18" t="n"/>
      <c r="E108" s="18" t="n"/>
      <c r="F108" s="18" t="n"/>
      <c r="G108" s="18" t="n"/>
      <c r="H108" s="35">
        <f>IF(OR(E108="",F108="",G108=""),"",E108&amp;"|"&amp;F108&amp;"|"&amp;G108)</f>
        <v/>
      </c>
      <c r="I108" s="36">
        <f>IFERROR(INDEX('8. Base UE (source TCD)'!$J$4:$J$326,MATCH(H108,'8. Base UE (source TCD)'!$L$4:$L$326,0)),"")</f>
        <v/>
      </c>
      <c r="J108" s="17" t="n"/>
      <c r="K108" s="17" t="n"/>
      <c r="L108" s="36">
        <f>IF(COUNT(J108:K108)=0,"",ROUND(J108*$F$2+K108*$I$2,2))</f>
        <v/>
      </c>
      <c r="M108" s="36">
        <f>IF(L108="","",L108*I108)</f>
        <v/>
      </c>
    </row>
    <row r="109">
      <c r="A109" s="16" t="n">
        <v>105</v>
      </c>
      <c r="B109" s="4" t="n"/>
      <c r="C109" s="4" t="n"/>
      <c r="D109" s="4" t="n"/>
      <c r="E109" s="4" t="n"/>
      <c r="F109" s="4" t="n"/>
      <c r="G109" s="4" t="n"/>
      <c r="H109" s="35">
        <f>IF(OR(E109="",F109="",G109=""),"",E109&amp;"|"&amp;F109&amp;"|"&amp;G109)</f>
        <v/>
      </c>
      <c r="I109" s="36">
        <f>IFERROR(INDEX('8. Base UE (source TCD)'!$J$4:$J$326,MATCH(H109,'8. Base UE (source TCD)'!$L$4:$L$326,0)),"")</f>
        <v/>
      </c>
      <c r="J109" s="16" t="n"/>
      <c r="K109" s="16" t="n"/>
      <c r="L109" s="36">
        <f>IF(COUNT(J109:K109)=0,"",ROUND(J109*$F$2+K109*$I$2,2))</f>
        <v/>
      </c>
      <c r="M109" s="36">
        <f>IF(L109="","",L109*I109)</f>
        <v/>
      </c>
    </row>
    <row r="110">
      <c r="A110" s="16" t="n">
        <v>106</v>
      </c>
      <c r="B110" s="18" t="n"/>
      <c r="C110" s="18" t="n"/>
      <c r="D110" s="18" t="n"/>
      <c r="E110" s="18" t="n"/>
      <c r="F110" s="18" t="n"/>
      <c r="G110" s="18" t="n"/>
      <c r="H110" s="35">
        <f>IF(OR(E110="",F110="",G110=""),"",E110&amp;"|"&amp;F110&amp;"|"&amp;G110)</f>
        <v/>
      </c>
      <c r="I110" s="36">
        <f>IFERROR(INDEX('8. Base UE (source TCD)'!$J$4:$J$326,MATCH(H110,'8. Base UE (source TCD)'!$L$4:$L$326,0)),"")</f>
        <v/>
      </c>
      <c r="J110" s="17" t="n"/>
      <c r="K110" s="17" t="n"/>
      <c r="L110" s="36">
        <f>IF(COUNT(J110:K110)=0,"",ROUND(J110*$F$2+K110*$I$2,2))</f>
        <v/>
      </c>
      <c r="M110" s="36">
        <f>IF(L110="","",L110*I110)</f>
        <v/>
      </c>
    </row>
    <row r="111">
      <c r="A111" s="16" t="n">
        <v>107</v>
      </c>
      <c r="B111" s="4" t="n"/>
      <c r="C111" s="4" t="n"/>
      <c r="D111" s="4" t="n"/>
      <c r="E111" s="4" t="n"/>
      <c r="F111" s="4" t="n"/>
      <c r="G111" s="4" t="n"/>
      <c r="H111" s="35">
        <f>IF(OR(E111="",F111="",G111=""),"",E111&amp;"|"&amp;F111&amp;"|"&amp;G111)</f>
        <v/>
      </c>
      <c r="I111" s="36">
        <f>IFERROR(INDEX('8. Base UE (source TCD)'!$J$4:$J$326,MATCH(H111,'8. Base UE (source TCD)'!$L$4:$L$326,0)),"")</f>
        <v/>
      </c>
      <c r="J111" s="16" t="n"/>
      <c r="K111" s="16" t="n"/>
      <c r="L111" s="36">
        <f>IF(COUNT(J111:K111)=0,"",ROUND(J111*$F$2+K111*$I$2,2))</f>
        <v/>
      </c>
      <c r="M111" s="36">
        <f>IF(L111="","",L111*I111)</f>
        <v/>
      </c>
    </row>
    <row r="112">
      <c r="A112" s="16" t="n">
        <v>108</v>
      </c>
      <c r="B112" s="18" t="n"/>
      <c r="C112" s="18" t="n"/>
      <c r="D112" s="18" t="n"/>
      <c r="E112" s="18" t="n"/>
      <c r="F112" s="18" t="n"/>
      <c r="G112" s="18" t="n"/>
      <c r="H112" s="35">
        <f>IF(OR(E112="",F112="",G112=""),"",E112&amp;"|"&amp;F112&amp;"|"&amp;G112)</f>
        <v/>
      </c>
      <c r="I112" s="36">
        <f>IFERROR(INDEX('8. Base UE (source TCD)'!$J$4:$J$326,MATCH(H112,'8. Base UE (source TCD)'!$L$4:$L$326,0)),"")</f>
        <v/>
      </c>
      <c r="J112" s="17" t="n"/>
      <c r="K112" s="17" t="n"/>
      <c r="L112" s="36">
        <f>IF(COUNT(J112:K112)=0,"",ROUND(J112*$F$2+K112*$I$2,2))</f>
        <v/>
      </c>
      <c r="M112" s="36">
        <f>IF(L112="","",L112*I112)</f>
        <v/>
      </c>
    </row>
    <row r="113">
      <c r="A113" s="16" t="n">
        <v>109</v>
      </c>
      <c r="B113" s="4" t="n"/>
      <c r="C113" s="4" t="n"/>
      <c r="D113" s="4" t="n"/>
      <c r="E113" s="4" t="n"/>
      <c r="F113" s="4" t="n"/>
      <c r="G113" s="4" t="n"/>
      <c r="H113" s="35">
        <f>IF(OR(E113="",F113="",G113=""),"",E113&amp;"|"&amp;F113&amp;"|"&amp;G113)</f>
        <v/>
      </c>
      <c r="I113" s="36">
        <f>IFERROR(INDEX('8. Base UE (source TCD)'!$J$4:$J$326,MATCH(H113,'8. Base UE (source TCD)'!$L$4:$L$326,0)),"")</f>
        <v/>
      </c>
      <c r="J113" s="16" t="n"/>
      <c r="K113" s="16" t="n"/>
      <c r="L113" s="36">
        <f>IF(COUNT(J113:K113)=0,"",ROUND(J113*$F$2+K113*$I$2,2))</f>
        <v/>
      </c>
      <c r="M113" s="36">
        <f>IF(L113="","",L113*I113)</f>
        <v/>
      </c>
    </row>
    <row r="114">
      <c r="A114" s="16" t="n">
        <v>110</v>
      </c>
      <c r="B114" s="18" t="n"/>
      <c r="C114" s="18" t="n"/>
      <c r="D114" s="18" t="n"/>
      <c r="E114" s="18" t="n"/>
      <c r="F114" s="18" t="n"/>
      <c r="G114" s="18" t="n"/>
      <c r="H114" s="35">
        <f>IF(OR(E114="",F114="",G114=""),"",E114&amp;"|"&amp;F114&amp;"|"&amp;G114)</f>
        <v/>
      </c>
      <c r="I114" s="36">
        <f>IFERROR(INDEX('8. Base UE (source TCD)'!$J$4:$J$326,MATCH(H114,'8. Base UE (source TCD)'!$L$4:$L$326,0)),"")</f>
        <v/>
      </c>
      <c r="J114" s="17" t="n"/>
      <c r="K114" s="17" t="n"/>
      <c r="L114" s="36">
        <f>IF(COUNT(J114:K114)=0,"",ROUND(J114*$F$2+K114*$I$2,2))</f>
        <v/>
      </c>
      <c r="M114" s="36">
        <f>IF(L114="","",L114*I114)</f>
        <v/>
      </c>
    </row>
    <row r="115">
      <c r="A115" s="16" t="n">
        <v>111</v>
      </c>
      <c r="B115" s="4" t="n"/>
      <c r="C115" s="4" t="n"/>
      <c r="D115" s="4" t="n"/>
      <c r="E115" s="4" t="n"/>
      <c r="F115" s="4" t="n"/>
      <c r="G115" s="4" t="n"/>
      <c r="H115" s="35">
        <f>IF(OR(E115="",F115="",G115=""),"",E115&amp;"|"&amp;F115&amp;"|"&amp;G115)</f>
        <v/>
      </c>
      <c r="I115" s="36">
        <f>IFERROR(INDEX('8. Base UE (source TCD)'!$J$4:$J$326,MATCH(H115,'8. Base UE (source TCD)'!$L$4:$L$326,0)),"")</f>
        <v/>
      </c>
      <c r="J115" s="16" t="n"/>
      <c r="K115" s="16" t="n"/>
      <c r="L115" s="36">
        <f>IF(COUNT(J115:K115)=0,"",ROUND(J115*$F$2+K115*$I$2,2))</f>
        <v/>
      </c>
      <c r="M115" s="36">
        <f>IF(L115="","",L115*I115)</f>
        <v/>
      </c>
    </row>
    <row r="116">
      <c r="A116" s="16" t="n">
        <v>112</v>
      </c>
      <c r="B116" s="18" t="n"/>
      <c r="C116" s="18" t="n"/>
      <c r="D116" s="18" t="n"/>
      <c r="E116" s="18" t="n"/>
      <c r="F116" s="18" t="n"/>
      <c r="G116" s="18" t="n"/>
      <c r="H116" s="35">
        <f>IF(OR(E116="",F116="",G116=""),"",E116&amp;"|"&amp;F116&amp;"|"&amp;G116)</f>
        <v/>
      </c>
      <c r="I116" s="36">
        <f>IFERROR(INDEX('8. Base UE (source TCD)'!$J$4:$J$326,MATCH(H116,'8. Base UE (source TCD)'!$L$4:$L$326,0)),"")</f>
        <v/>
      </c>
      <c r="J116" s="17" t="n"/>
      <c r="K116" s="17" t="n"/>
      <c r="L116" s="36">
        <f>IF(COUNT(J116:K116)=0,"",ROUND(J116*$F$2+K116*$I$2,2))</f>
        <v/>
      </c>
      <c r="M116" s="36">
        <f>IF(L116="","",L116*I116)</f>
        <v/>
      </c>
    </row>
    <row r="117">
      <c r="A117" s="16" t="n">
        <v>113</v>
      </c>
      <c r="B117" s="4" t="n"/>
      <c r="C117" s="4" t="n"/>
      <c r="D117" s="4" t="n"/>
      <c r="E117" s="4" t="n"/>
      <c r="F117" s="4" t="n"/>
      <c r="G117" s="4" t="n"/>
      <c r="H117" s="35">
        <f>IF(OR(E117="",F117="",G117=""),"",E117&amp;"|"&amp;F117&amp;"|"&amp;G117)</f>
        <v/>
      </c>
      <c r="I117" s="36">
        <f>IFERROR(INDEX('8. Base UE (source TCD)'!$J$4:$J$326,MATCH(H117,'8. Base UE (source TCD)'!$L$4:$L$326,0)),"")</f>
        <v/>
      </c>
      <c r="J117" s="16" t="n"/>
      <c r="K117" s="16" t="n"/>
      <c r="L117" s="36">
        <f>IF(COUNT(J117:K117)=0,"",ROUND(J117*$F$2+K117*$I$2,2))</f>
        <v/>
      </c>
      <c r="M117" s="36">
        <f>IF(L117="","",L117*I117)</f>
        <v/>
      </c>
    </row>
    <row r="118">
      <c r="A118" s="16" t="n">
        <v>114</v>
      </c>
      <c r="B118" s="18" t="n"/>
      <c r="C118" s="18" t="n"/>
      <c r="D118" s="18" t="n"/>
      <c r="E118" s="18" t="n"/>
      <c r="F118" s="18" t="n"/>
      <c r="G118" s="18" t="n"/>
      <c r="H118" s="35">
        <f>IF(OR(E118="",F118="",G118=""),"",E118&amp;"|"&amp;F118&amp;"|"&amp;G118)</f>
        <v/>
      </c>
      <c r="I118" s="36">
        <f>IFERROR(INDEX('8. Base UE (source TCD)'!$J$4:$J$326,MATCH(H118,'8. Base UE (source TCD)'!$L$4:$L$326,0)),"")</f>
        <v/>
      </c>
      <c r="J118" s="17" t="n"/>
      <c r="K118" s="17" t="n"/>
      <c r="L118" s="36">
        <f>IF(COUNT(J118:K118)=0,"",ROUND(J118*$F$2+K118*$I$2,2))</f>
        <v/>
      </c>
      <c r="M118" s="36">
        <f>IF(L118="","",L118*I118)</f>
        <v/>
      </c>
    </row>
    <row r="119">
      <c r="A119" s="16" t="n">
        <v>115</v>
      </c>
      <c r="B119" s="4" t="n"/>
      <c r="C119" s="4" t="n"/>
      <c r="D119" s="4" t="n"/>
      <c r="E119" s="4" t="n"/>
      <c r="F119" s="4" t="n"/>
      <c r="G119" s="4" t="n"/>
      <c r="H119" s="35">
        <f>IF(OR(E119="",F119="",G119=""),"",E119&amp;"|"&amp;F119&amp;"|"&amp;G119)</f>
        <v/>
      </c>
      <c r="I119" s="36">
        <f>IFERROR(INDEX('8. Base UE (source TCD)'!$J$4:$J$326,MATCH(H119,'8. Base UE (source TCD)'!$L$4:$L$326,0)),"")</f>
        <v/>
      </c>
      <c r="J119" s="16" t="n"/>
      <c r="K119" s="16" t="n"/>
      <c r="L119" s="36">
        <f>IF(COUNT(J119:K119)=0,"",ROUND(J119*$F$2+K119*$I$2,2))</f>
        <v/>
      </c>
      <c r="M119" s="36">
        <f>IF(L119="","",L119*I119)</f>
        <v/>
      </c>
    </row>
    <row r="120">
      <c r="A120" s="16" t="n">
        <v>116</v>
      </c>
      <c r="B120" s="18" t="n"/>
      <c r="C120" s="18" t="n"/>
      <c r="D120" s="18" t="n"/>
      <c r="E120" s="18" t="n"/>
      <c r="F120" s="18" t="n"/>
      <c r="G120" s="18" t="n"/>
      <c r="H120" s="35">
        <f>IF(OR(E120="",F120="",G120=""),"",E120&amp;"|"&amp;F120&amp;"|"&amp;G120)</f>
        <v/>
      </c>
      <c r="I120" s="36">
        <f>IFERROR(INDEX('8. Base UE (source TCD)'!$J$4:$J$326,MATCH(H120,'8. Base UE (source TCD)'!$L$4:$L$326,0)),"")</f>
        <v/>
      </c>
      <c r="J120" s="17" t="n"/>
      <c r="K120" s="17" t="n"/>
      <c r="L120" s="36">
        <f>IF(COUNT(J120:K120)=0,"",ROUND(J120*$F$2+K120*$I$2,2))</f>
        <v/>
      </c>
      <c r="M120" s="36">
        <f>IF(L120="","",L120*I120)</f>
        <v/>
      </c>
    </row>
    <row r="121">
      <c r="A121" s="16" t="n">
        <v>117</v>
      </c>
      <c r="B121" s="4" t="n"/>
      <c r="C121" s="4" t="n"/>
      <c r="D121" s="4" t="n"/>
      <c r="E121" s="4" t="n"/>
      <c r="F121" s="4" t="n"/>
      <c r="G121" s="4" t="n"/>
      <c r="H121" s="35">
        <f>IF(OR(E121="",F121="",G121=""),"",E121&amp;"|"&amp;F121&amp;"|"&amp;G121)</f>
        <v/>
      </c>
      <c r="I121" s="36">
        <f>IFERROR(INDEX('8. Base UE (source TCD)'!$J$4:$J$326,MATCH(H121,'8. Base UE (source TCD)'!$L$4:$L$326,0)),"")</f>
        <v/>
      </c>
      <c r="J121" s="16" t="n"/>
      <c r="K121" s="16" t="n"/>
      <c r="L121" s="36">
        <f>IF(COUNT(J121:K121)=0,"",ROUND(J121*$F$2+K121*$I$2,2))</f>
        <v/>
      </c>
      <c r="M121" s="36">
        <f>IF(L121="","",L121*I121)</f>
        <v/>
      </c>
    </row>
    <row r="122">
      <c r="A122" s="16" t="n">
        <v>118</v>
      </c>
      <c r="B122" s="18" t="n"/>
      <c r="C122" s="18" t="n"/>
      <c r="D122" s="18" t="n"/>
      <c r="E122" s="18" t="n"/>
      <c r="F122" s="18" t="n"/>
      <c r="G122" s="18" t="n"/>
      <c r="H122" s="35">
        <f>IF(OR(E122="",F122="",G122=""),"",E122&amp;"|"&amp;F122&amp;"|"&amp;G122)</f>
        <v/>
      </c>
      <c r="I122" s="36">
        <f>IFERROR(INDEX('8. Base UE (source TCD)'!$J$4:$J$326,MATCH(H122,'8. Base UE (source TCD)'!$L$4:$L$326,0)),"")</f>
        <v/>
      </c>
      <c r="J122" s="17" t="n"/>
      <c r="K122" s="17" t="n"/>
      <c r="L122" s="36">
        <f>IF(COUNT(J122:K122)=0,"",ROUND(J122*$F$2+K122*$I$2,2))</f>
        <v/>
      </c>
      <c r="M122" s="36">
        <f>IF(L122="","",L122*I122)</f>
        <v/>
      </c>
    </row>
    <row r="123">
      <c r="A123" s="16" t="n">
        <v>119</v>
      </c>
      <c r="B123" s="4" t="n"/>
      <c r="C123" s="4" t="n"/>
      <c r="D123" s="4" t="n"/>
      <c r="E123" s="4" t="n"/>
      <c r="F123" s="4" t="n"/>
      <c r="G123" s="4" t="n"/>
      <c r="H123" s="35">
        <f>IF(OR(E123="",F123="",G123=""),"",E123&amp;"|"&amp;F123&amp;"|"&amp;G123)</f>
        <v/>
      </c>
      <c r="I123" s="36">
        <f>IFERROR(INDEX('8. Base UE (source TCD)'!$J$4:$J$326,MATCH(H123,'8. Base UE (source TCD)'!$L$4:$L$326,0)),"")</f>
        <v/>
      </c>
      <c r="J123" s="16" t="n"/>
      <c r="K123" s="16" t="n"/>
      <c r="L123" s="36">
        <f>IF(COUNT(J123:K123)=0,"",ROUND(J123*$F$2+K123*$I$2,2))</f>
        <v/>
      </c>
      <c r="M123" s="36">
        <f>IF(L123="","",L123*I123)</f>
        <v/>
      </c>
    </row>
    <row r="124">
      <c r="A124" s="16" t="n">
        <v>120</v>
      </c>
      <c r="B124" s="18" t="n"/>
      <c r="C124" s="18" t="n"/>
      <c r="D124" s="18" t="n"/>
      <c r="E124" s="18" t="n"/>
      <c r="F124" s="18" t="n"/>
      <c r="G124" s="18" t="n"/>
      <c r="H124" s="35">
        <f>IF(OR(E124="",F124="",G124=""),"",E124&amp;"|"&amp;F124&amp;"|"&amp;G124)</f>
        <v/>
      </c>
      <c r="I124" s="36">
        <f>IFERROR(INDEX('8. Base UE (source TCD)'!$J$4:$J$326,MATCH(H124,'8. Base UE (source TCD)'!$L$4:$L$326,0)),"")</f>
        <v/>
      </c>
      <c r="J124" s="17" t="n"/>
      <c r="K124" s="17" t="n"/>
      <c r="L124" s="36">
        <f>IF(COUNT(J124:K124)=0,"",ROUND(J124*$F$2+K124*$I$2,2))</f>
        <v/>
      </c>
      <c r="M124" s="36">
        <f>IF(L124="","",L124*I124)</f>
        <v/>
      </c>
    </row>
    <row r="125">
      <c r="A125" s="16" t="n">
        <v>121</v>
      </c>
      <c r="B125" s="4" t="n"/>
      <c r="C125" s="4" t="n"/>
      <c r="D125" s="4" t="n"/>
      <c r="E125" s="4" t="n"/>
      <c r="F125" s="4" t="n"/>
      <c r="G125" s="4" t="n"/>
      <c r="H125" s="35">
        <f>IF(OR(E125="",F125="",G125=""),"",E125&amp;"|"&amp;F125&amp;"|"&amp;G125)</f>
        <v/>
      </c>
      <c r="I125" s="36">
        <f>IFERROR(INDEX('8. Base UE (source TCD)'!$J$4:$J$326,MATCH(H125,'8. Base UE (source TCD)'!$L$4:$L$326,0)),"")</f>
        <v/>
      </c>
      <c r="J125" s="16" t="n"/>
      <c r="K125" s="16" t="n"/>
      <c r="L125" s="36">
        <f>IF(COUNT(J125:K125)=0,"",ROUND(J125*$F$2+K125*$I$2,2))</f>
        <v/>
      </c>
      <c r="M125" s="36">
        <f>IF(L125="","",L125*I125)</f>
        <v/>
      </c>
    </row>
    <row r="126">
      <c r="A126" s="16" t="n">
        <v>122</v>
      </c>
      <c r="B126" s="18" t="n"/>
      <c r="C126" s="18" t="n"/>
      <c r="D126" s="18" t="n"/>
      <c r="E126" s="18" t="n"/>
      <c r="F126" s="18" t="n"/>
      <c r="G126" s="18" t="n"/>
      <c r="H126" s="35">
        <f>IF(OR(E126="",F126="",G126=""),"",E126&amp;"|"&amp;F126&amp;"|"&amp;G126)</f>
        <v/>
      </c>
      <c r="I126" s="36">
        <f>IFERROR(INDEX('8. Base UE (source TCD)'!$J$4:$J$326,MATCH(H126,'8. Base UE (source TCD)'!$L$4:$L$326,0)),"")</f>
        <v/>
      </c>
      <c r="J126" s="17" t="n"/>
      <c r="K126" s="17" t="n"/>
      <c r="L126" s="36">
        <f>IF(COUNT(J126:K126)=0,"",ROUND(J126*$F$2+K126*$I$2,2))</f>
        <v/>
      </c>
      <c r="M126" s="36">
        <f>IF(L126="","",L126*I126)</f>
        <v/>
      </c>
    </row>
    <row r="127">
      <c r="A127" s="16" t="n">
        <v>123</v>
      </c>
      <c r="B127" s="4" t="n"/>
      <c r="C127" s="4" t="n"/>
      <c r="D127" s="4" t="n"/>
      <c r="E127" s="4" t="n"/>
      <c r="F127" s="4" t="n"/>
      <c r="G127" s="4" t="n"/>
      <c r="H127" s="35">
        <f>IF(OR(E127="",F127="",G127=""),"",E127&amp;"|"&amp;F127&amp;"|"&amp;G127)</f>
        <v/>
      </c>
      <c r="I127" s="36">
        <f>IFERROR(INDEX('8. Base UE (source TCD)'!$J$4:$J$326,MATCH(H127,'8. Base UE (source TCD)'!$L$4:$L$326,0)),"")</f>
        <v/>
      </c>
      <c r="J127" s="16" t="n"/>
      <c r="K127" s="16" t="n"/>
      <c r="L127" s="36">
        <f>IF(COUNT(J127:K127)=0,"",ROUND(J127*$F$2+K127*$I$2,2))</f>
        <v/>
      </c>
      <c r="M127" s="36">
        <f>IF(L127="","",L127*I127)</f>
        <v/>
      </c>
    </row>
    <row r="128">
      <c r="A128" s="16" t="n">
        <v>124</v>
      </c>
      <c r="B128" s="18" t="n"/>
      <c r="C128" s="18" t="n"/>
      <c r="D128" s="18" t="n"/>
      <c r="E128" s="18" t="n"/>
      <c r="F128" s="18" t="n"/>
      <c r="G128" s="18" t="n"/>
      <c r="H128" s="35">
        <f>IF(OR(E128="",F128="",G128=""),"",E128&amp;"|"&amp;F128&amp;"|"&amp;G128)</f>
        <v/>
      </c>
      <c r="I128" s="36">
        <f>IFERROR(INDEX('8. Base UE (source TCD)'!$J$4:$J$326,MATCH(H128,'8. Base UE (source TCD)'!$L$4:$L$326,0)),"")</f>
        <v/>
      </c>
      <c r="J128" s="17" t="n"/>
      <c r="K128" s="17" t="n"/>
      <c r="L128" s="36">
        <f>IF(COUNT(J128:K128)=0,"",ROUND(J128*$F$2+K128*$I$2,2))</f>
        <v/>
      </c>
      <c r="M128" s="36">
        <f>IF(L128="","",L128*I128)</f>
        <v/>
      </c>
    </row>
    <row r="129">
      <c r="A129" s="16" t="n">
        <v>125</v>
      </c>
      <c r="B129" s="4" t="n"/>
      <c r="C129" s="4" t="n"/>
      <c r="D129" s="4" t="n"/>
      <c r="E129" s="4" t="n"/>
      <c r="F129" s="4" t="n"/>
      <c r="G129" s="4" t="n"/>
      <c r="H129" s="35">
        <f>IF(OR(E129="",F129="",G129=""),"",E129&amp;"|"&amp;F129&amp;"|"&amp;G129)</f>
        <v/>
      </c>
      <c r="I129" s="36">
        <f>IFERROR(INDEX('8. Base UE (source TCD)'!$J$4:$J$326,MATCH(H129,'8. Base UE (source TCD)'!$L$4:$L$326,0)),"")</f>
        <v/>
      </c>
      <c r="J129" s="16" t="n"/>
      <c r="K129" s="16" t="n"/>
      <c r="L129" s="36">
        <f>IF(COUNT(J129:K129)=0,"",ROUND(J129*$F$2+K129*$I$2,2))</f>
        <v/>
      </c>
      <c r="M129" s="36">
        <f>IF(L129="","",L129*I129)</f>
        <v/>
      </c>
    </row>
    <row r="130">
      <c r="A130" s="16" t="n">
        <v>126</v>
      </c>
      <c r="B130" s="18" t="n"/>
      <c r="C130" s="18" t="n"/>
      <c r="D130" s="18" t="n"/>
      <c r="E130" s="18" t="n"/>
      <c r="F130" s="18" t="n"/>
      <c r="G130" s="18" t="n"/>
      <c r="H130" s="35">
        <f>IF(OR(E130="",F130="",G130=""),"",E130&amp;"|"&amp;F130&amp;"|"&amp;G130)</f>
        <v/>
      </c>
      <c r="I130" s="36">
        <f>IFERROR(INDEX('8. Base UE (source TCD)'!$J$4:$J$326,MATCH(H130,'8. Base UE (source TCD)'!$L$4:$L$326,0)),"")</f>
        <v/>
      </c>
      <c r="J130" s="17" t="n"/>
      <c r="K130" s="17" t="n"/>
      <c r="L130" s="36">
        <f>IF(COUNT(J130:K130)=0,"",ROUND(J130*$F$2+K130*$I$2,2))</f>
        <v/>
      </c>
      <c r="M130" s="36">
        <f>IF(L130="","",L130*I130)</f>
        <v/>
      </c>
    </row>
    <row r="131">
      <c r="A131" s="16" t="n">
        <v>127</v>
      </c>
      <c r="B131" s="4" t="n"/>
      <c r="C131" s="4" t="n"/>
      <c r="D131" s="4" t="n"/>
      <c r="E131" s="4" t="n"/>
      <c r="F131" s="4" t="n"/>
      <c r="G131" s="4" t="n"/>
      <c r="H131" s="35">
        <f>IF(OR(E131="",F131="",G131=""),"",E131&amp;"|"&amp;F131&amp;"|"&amp;G131)</f>
        <v/>
      </c>
      <c r="I131" s="36">
        <f>IFERROR(INDEX('8. Base UE (source TCD)'!$J$4:$J$326,MATCH(H131,'8. Base UE (source TCD)'!$L$4:$L$326,0)),"")</f>
        <v/>
      </c>
      <c r="J131" s="16" t="n"/>
      <c r="K131" s="16" t="n"/>
      <c r="L131" s="36">
        <f>IF(COUNT(J131:K131)=0,"",ROUND(J131*$F$2+K131*$I$2,2))</f>
        <v/>
      </c>
      <c r="M131" s="36">
        <f>IF(L131="","",L131*I131)</f>
        <v/>
      </c>
    </row>
    <row r="132">
      <c r="A132" s="16" t="n">
        <v>128</v>
      </c>
      <c r="B132" s="18" t="n"/>
      <c r="C132" s="18" t="n"/>
      <c r="D132" s="18" t="n"/>
      <c r="E132" s="18" t="n"/>
      <c r="F132" s="18" t="n"/>
      <c r="G132" s="18" t="n"/>
      <c r="H132" s="35">
        <f>IF(OR(E132="",F132="",G132=""),"",E132&amp;"|"&amp;F132&amp;"|"&amp;G132)</f>
        <v/>
      </c>
      <c r="I132" s="36">
        <f>IFERROR(INDEX('8. Base UE (source TCD)'!$J$4:$J$326,MATCH(H132,'8. Base UE (source TCD)'!$L$4:$L$326,0)),"")</f>
        <v/>
      </c>
      <c r="J132" s="17" t="n"/>
      <c r="K132" s="17" t="n"/>
      <c r="L132" s="36">
        <f>IF(COUNT(J132:K132)=0,"",ROUND(J132*$F$2+K132*$I$2,2))</f>
        <v/>
      </c>
      <c r="M132" s="36">
        <f>IF(L132="","",L132*I132)</f>
        <v/>
      </c>
    </row>
    <row r="133">
      <c r="A133" s="16" t="n">
        <v>129</v>
      </c>
      <c r="B133" s="4" t="n"/>
      <c r="C133" s="4" t="n"/>
      <c r="D133" s="4" t="n"/>
      <c r="E133" s="4" t="n"/>
      <c r="F133" s="4" t="n"/>
      <c r="G133" s="4" t="n"/>
      <c r="H133" s="35">
        <f>IF(OR(E133="",F133="",G133=""),"",E133&amp;"|"&amp;F133&amp;"|"&amp;G133)</f>
        <v/>
      </c>
      <c r="I133" s="36">
        <f>IFERROR(INDEX('8. Base UE (source TCD)'!$J$4:$J$326,MATCH(H133,'8. Base UE (source TCD)'!$L$4:$L$326,0)),"")</f>
        <v/>
      </c>
      <c r="J133" s="16" t="n"/>
      <c r="K133" s="16" t="n"/>
      <c r="L133" s="36">
        <f>IF(COUNT(J133:K133)=0,"",ROUND(J133*$F$2+K133*$I$2,2))</f>
        <v/>
      </c>
      <c r="M133" s="36">
        <f>IF(L133="","",L133*I133)</f>
        <v/>
      </c>
    </row>
    <row r="134">
      <c r="A134" s="16" t="n">
        <v>130</v>
      </c>
      <c r="B134" s="18" t="n"/>
      <c r="C134" s="18" t="n"/>
      <c r="D134" s="18" t="n"/>
      <c r="E134" s="18" t="n"/>
      <c r="F134" s="18" t="n"/>
      <c r="G134" s="18" t="n"/>
      <c r="H134" s="35">
        <f>IF(OR(E134="",F134="",G134=""),"",E134&amp;"|"&amp;F134&amp;"|"&amp;G134)</f>
        <v/>
      </c>
      <c r="I134" s="36">
        <f>IFERROR(INDEX('8. Base UE (source TCD)'!$J$4:$J$326,MATCH(H134,'8. Base UE (source TCD)'!$L$4:$L$326,0)),"")</f>
        <v/>
      </c>
      <c r="J134" s="17" t="n"/>
      <c r="K134" s="17" t="n"/>
      <c r="L134" s="36">
        <f>IF(COUNT(J134:K134)=0,"",ROUND(J134*$F$2+K134*$I$2,2))</f>
        <v/>
      </c>
      <c r="M134" s="36">
        <f>IF(L134="","",L134*I134)</f>
        <v/>
      </c>
    </row>
    <row r="135">
      <c r="A135" s="16" t="n">
        <v>131</v>
      </c>
      <c r="B135" s="4" t="n"/>
      <c r="C135" s="4" t="n"/>
      <c r="D135" s="4" t="n"/>
      <c r="E135" s="4" t="n"/>
      <c r="F135" s="4" t="n"/>
      <c r="G135" s="4" t="n"/>
      <c r="H135" s="35">
        <f>IF(OR(E135="",F135="",G135=""),"",E135&amp;"|"&amp;F135&amp;"|"&amp;G135)</f>
        <v/>
      </c>
      <c r="I135" s="36">
        <f>IFERROR(INDEX('8. Base UE (source TCD)'!$J$4:$J$326,MATCH(H135,'8. Base UE (source TCD)'!$L$4:$L$326,0)),"")</f>
        <v/>
      </c>
      <c r="J135" s="16" t="n"/>
      <c r="K135" s="16" t="n"/>
      <c r="L135" s="36">
        <f>IF(COUNT(J135:K135)=0,"",ROUND(J135*$F$2+K135*$I$2,2))</f>
        <v/>
      </c>
      <c r="M135" s="36">
        <f>IF(L135="","",L135*I135)</f>
        <v/>
      </c>
    </row>
    <row r="136">
      <c r="A136" s="16" t="n">
        <v>132</v>
      </c>
      <c r="B136" s="18" t="n"/>
      <c r="C136" s="18" t="n"/>
      <c r="D136" s="18" t="n"/>
      <c r="E136" s="18" t="n"/>
      <c r="F136" s="18" t="n"/>
      <c r="G136" s="18" t="n"/>
      <c r="H136" s="35">
        <f>IF(OR(E136="",F136="",G136=""),"",E136&amp;"|"&amp;F136&amp;"|"&amp;G136)</f>
        <v/>
      </c>
      <c r="I136" s="36">
        <f>IFERROR(INDEX('8. Base UE (source TCD)'!$J$4:$J$326,MATCH(H136,'8. Base UE (source TCD)'!$L$4:$L$326,0)),"")</f>
        <v/>
      </c>
      <c r="J136" s="17" t="n"/>
      <c r="K136" s="17" t="n"/>
      <c r="L136" s="36">
        <f>IF(COUNT(J136:K136)=0,"",ROUND(J136*$F$2+K136*$I$2,2))</f>
        <v/>
      </c>
      <c r="M136" s="36">
        <f>IF(L136="","",L136*I136)</f>
        <v/>
      </c>
    </row>
    <row r="137">
      <c r="A137" s="16" t="n">
        <v>133</v>
      </c>
      <c r="B137" s="4" t="n"/>
      <c r="C137" s="4" t="n"/>
      <c r="D137" s="4" t="n"/>
      <c r="E137" s="4" t="n"/>
      <c r="F137" s="4" t="n"/>
      <c r="G137" s="4" t="n"/>
      <c r="H137" s="35">
        <f>IF(OR(E137="",F137="",G137=""),"",E137&amp;"|"&amp;F137&amp;"|"&amp;G137)</f>
        <v/>
      </c>
      <c r="I137" s="36">
        <f>IFERROR(INDEX('8. Base UE (source TCD)'!$J$4:$J$326,MATCH(H137,'8. Base UE (source TCD)'!$L$4:$L$326,0)),"")</f>
        <v/>
      </c>
      <c r="J137" s="16" t="n"/>
      <c r="K137" s="16" t="n"/>
      <c r="L137" s="36">
        <f>IF(COUNT(J137:K137)=0,"",ROUND(J137*$F$2+K137*$I$2,2))</f>
        <v/>
      </c>
      <c r="M137" s="36">
        <f>IF(L137="","",L137*I137)</f>
        <v/>
      </c>
    </row>
    <row r="138">
      <c r="A138" s="16" t="n">
        <v>134</v>
      </c>
      <c r="B138" s="18" t="n"/>
      <c r="C138" s="18" t="n"/>
      <c r="D138" s="18" t="n"/>
      <c r="E138" s="18" t="n"/>
      <c r="F138" s="18" t="n"/>
      <c r="G138" s="18" t="n"/>
      <c r="H138" s="35">
        <f>IF(OR(E138="",F138="",G138=""),"",E138&amp;"|"&amp;F138&amp;"|"&amp;G138)</f>
        <v/>
      </c>
      <c r="I138" s="36">
        <f>IFERROR(INDEX('8. Base UE (source TCD)'!$J$4:$J$326,MATCH(H138,'8. Base UE (source TCD)'!$L$4:$L$326,0)),"")</f>
        <v/>
      </c>
      <c r="J138" s="17" t="n"/>
      <c r="K138" s="17" t="n"/>
      <c r="L138" s="36">
        <f>IF(COUNT(J138:K138)=0,"",ROUND(J138*$F$2+K138*$I$2,2))</f>
        <v/>
      </c>
      <c r="M138" s="36">
        <f>IF(L138="","",L138*I138)</f>
        <v/>
      </c>
    </row>
    <row r="139">
      <c r="A139" s="16" t="n">
        <v>135</v>
      </c>
      <c r="B139" s="4" t="n"/>
      <c r="C139" s="4" t="n"/>
      <c r="D139" s="4" t="n"/>
      <c r="E139" s="4" t="n"/>
      <c r="F139" s="4" t="n"/>
      <c r="G139" s="4" t="n"/>
      <c r="H139" s="35">
        <f>IF(OR(E139="",F139="",G139=""),"",E139&amp;"|"&amp;F139&amp;"|"&amp;G139)</f>
        <v/>
      </c>
      <c r="I139" s="36">
        <f>IFERROR(INDEX('8. Base UE (source TCD)'!$J$4:$J$326,MATCH(H139,'8. Base UE (source TCD)'!$L$4:$L$326,0)),"")</f>
        <v/>
      </c>
      <c r="J139" s="16" t="n"/>
      <c r="K139" s="16" t="n"/>
      <c r="L139" s="36">
        <f>IF(COUNT(J139:K139)=0,"",ROUND(J139*$F$2+K139*$I$2,2))</f>
        <v/>
      </c>
      <c r="M139" s="36">
        <f>IF(L139="","",L139*I139)</f>
        <v/>
      </c>
    </row>
    <row r="140">
      <c r="A140" s="16" t="n">
        <v>136</v>
      </c>
      <c r="B140" s="18" t="n"/>
      <c r="C140" s="18" t="n"/>
      <c r="D140" s="18" t="n"/>
      <c r="E140" s="18" t="n"/>
      <c r="F140" s="18" t="n"/>
      <c r="G140" s="18" t="n"/>
      <c r="H140" s="35">
        <f>IF(OR(E140="",F140="",G140=""),"",E140&amp;"|"&amp;F140&amp;"|"&amp;G140)</f>
        <v/>
      </c>
      <c r="I140" s="36">
        <f>IFERROR(INDEX('8. Base UE (source TCD)'!$J$4:$J$326,MATCH(H140,'8. Base UE (source TCD)'!$L$4:$L$326,0)),"")</f>
        <v/>
      </c>
      <c r="J140" s="17" t="n"/>
      <c r="K140" s="17" t="n"/>
      <c r="L140" s="36">
        <f>IF(COUNT(J140:K140)=0,"",ROUND(J140*$F$2+K140*$I$2,2))</f>
        <v/>
      </c>
      <c r="M140" s="36">
        <f>IF(L140="","",L140*I140)</f>
        <v/>
      </c>
    </row>
    <row r="141">
      <c r="A141" s="16" t="n">
        <v>137</v>
      </c>
      <c r="B141" s="4" t="n"/>
      <c r="C141" s="4" t="n"/>
      <c r="D141" s="4" t="n"/>
      <c r="E141" s="4" t="n"/>
      <c r="F141" s="4" t="n"/>
      <c r="G141" s="4" t="n"/>
      <c r="H141" s="35">
        <f>IF(OR(E141="",F141="",G141=""),"",E141&amp;"|"&amp;F141&amp;"|"&amp;G141)</f>
        <v/>
      </c>
      <c r="I141" s="36">
        <f>IFERROR(INDEX('8. Base UE (source TCD)'!$J$4:$J$326,MATCH(H141,'8. Base UE (source TCD)'!$L$4:$L$326,0)),"")</f>
        <v/>
      </c>
      <c r="J141" s="16" t="n"/>
      <c r="K141" s="16" t="n"/>
      <c r="L141" s="36">
        <f>IF(COUNT(J141:K141)=0,"",ROUND(J141*$F$2+K141*$I$2,2))</f>
        <v/>
      </c>
      <c r="M141" s="36">
        <f>IF(L141="","",L141*I141)</f>
        <v/>
      </c>
    </row>
    <row r="142">
      <c r="A142" s="16" t="n">
        <v>138</v>
      </c>
      <c r="B142" s="18" t="n"/>
      <c r="C142" s="18" t="n"/>
      <c r="D142" s="18" t="n"/>
      <c r="E142" s="18" t="n"/>
      <c r="F142" s="18" t="n"/>
      <c r="G142" s="18" t="n"/>
      <c r="H142" s="35">
        <f>IF(OR(E142="",F142="",G142=""),"",E142&amp;"|"&amp;F142&amp;"|"&amp;G142)</f>
        <v/>
      </c>
      <c r="I142" s="36">
        <f>IFERROR(INDEX('8. Base UE (source TCD)'!$J$4:$J$326,MATCH(H142,'8. Base UE (source TCD)'!$L$4:$L$326,0)),"")</f>
        <v/>
      </c>
      <c r="J142" s="17" t="n"/>
      <c r="K142" s="17" t="n"/>
      <c r="L142" s="36">
        <f>IF(COUNT(J142:K142)=0,"",ROUND(J142*$F$2+K142*$I$2,2))</f>
        <v/>
      </c>
      <c r="M142" s="36">
        <f>IF(L142="","",L142*I142)</f>
        <v/>
      </c>
    </row>
    <row r="143">
      <c r="A143" s="16" t="n">
        <v>139</v>
      </c>
      <c r="B143" s="4" t="n"/>
      <c r="C143" s="4" t="n"/>
      <c r="D143" s="4" t="n"/>
      <c r="E143" s="4" t="n"/>
      <c r="F143" s="4" t="n"/>
      <c r="G143" s="4" t="n"/>
      <c r="H143" s="35">
        <f>IF(OR(E143="",F143="",G143=""),"",E143&amp;"|"&amp;F143&amp;"|"&amp;G143)</f>
        <v/>
      </c>
      <c r="I143" s="36">
        <f>IFERROR(INDEX('8. Base UE (source TCD)'!$J$4:$J$326,MATCH(H143,'8. Base UE (source TCD)'!$L$4:$L$326,0)),"")</f>
        <v/>
      </c>
      <c r="J143" s="16" t="n"/>
      <c r="K143" s="16" t="n"/>
      <c r="L143" s="36">
        <f>IF(COUNT(J143:K143)=0,"",ROUND(J143*$F$2+K143*$I$2,2))</f>
        <v/>
      </c>
      <c r="M143" s="36">
        <f>IF(L143="","",L143*I143)</f>
        <v/>
      </c>
    </row>
    <row r="144">
      <c r="A144" s="16" t="n">
        <v>140</v>
      </c>
      <c r="B144" s="18" t="n"/>
      <c r="C144" s="18" t="n"/>
      <c r="D144" s="18" t="n"/>
      <c r="E144" s="18" t="n"/>
      <c r="F144" s="18" t="n"/>
      <c r="G144" s="18" t="n"/>
      <c r="H144" s="35">
        <f>IF(OR(E144="",F144="",G144=""),"",E144&amp;"|"&amp;F144&amp;"|"&amp;G144)</f>
        <v/>
      </c>
      <c r="I144" s="36">
        <f>IFERROR(INDEX('8. Base UE (source TCD)'!$J$4:$J$326,MATCH(H144,'8. Base UE (source TCD)'!$L$4:$L$326,0)),"")</f>
        <v/>
      </c>
      <c r="J144" s="17" t="n"/>
      <c r="K144" s="17" t="n"/>
      <c r="L144" s="36">
        <f>IF(COUNT(J144:K144)=0,"",ROUND(J144*$F$2+K144*$I$2,2))</f>
        <v/>
      </c>
      <c r="M144" s="36">
        <f>IF(L144="","",L144*I144)</f>
        <v/>
      </c>
    </row>
    <row r="145">
      <c r="A145" s="16" t="n">
        <v>141</v>
      </c>
      <c r="B145" s="4" t="n"/>
      <c r="C145" s="4" t="n"/>
      <c r="D145" s="4" t="n"/>
      <c r="E145" s="4" t="n"/>
      <c r="F145" s="4" t="n"/>
      <c r="G145" s="4" t="n"/>
      <c r="H145" s="35">
        <f>IF(OR(E145="",F145="",G145=""),"",E145&amp;"|"&amp;F145&amp;"|"&amp;G145)</f>
        <v/>
      </c>
      <c r="I145" s="36">
        <f>IFERROR(INDEX('8. Base UE (source TCD)'!$J$4:$J$326,MATCH(H145,'8. Base UE (source TCD)'!$L$4:$L$326,0)),"")</f>
        <v/>
      </c>
      <c r="J145" s="16" t="n"/>
      <c r="K145" s="16" t="n"/>
      <c r="L145" s="36">
        <f>IF(COUNT(J145:K145)=0,"",ROUND(J145*$F$2+K145*$I$2,2))</f>
        <v/>
      </c>
      <c r="M145" s="36">
        <f>IF(L145="","",L145*I145)</f>
        <v/>
      </c>
    </row>
    <row r="146">
      <c r="A146" s="16" t="n">
        <v>142</v>
      </c>
      <c r="B146" s="18" t="n"/>
      <c r="C146" s="18" t="n"/>
      <c r="D146" s="18" t="n"/>
      <c r="E146" s="18" t="n"/>
      <c r="F146" s="18" t="n"/>
      <c r="G146" s="18" t="n"/>
      <c r="H146" s="35">
        <f>IF(OR(E146="",F146="",G146=""),"",E146&amp;"|"&amp;F146&amp;"|"&amp;G146)</f>
        <v/>
      </c>
      <c r="I146" s="36">
        <f>IFERROR(INDEX('8. Base UE (source TCD)'!$J$4:$J$326,MATCH(H146,'8. Base UE (source TCD)'!$L$4:$L$326,0)),"")</f>
        <v/>
      </c>
      <c r="J146" s="17" t="n"/>
      <c r="K146" s="17" t="n"/>
      <c r="L146" s="36">
        <f>IF(COUNT(J146:K146)=0,"",ROUND(J146*$F$2+K146*$I$2,2))</f>
        <v/>
      </c>
      <c r="M146" s="36">
        <f>IF(L146="","",L146*I146)</f>
        <v/>
      </c>
    </row>
    <row r="147">
      <c r="A147" s="16" t="n">
        <v>143</v>
      </c>
      <c r="B147" s="4" t="n"/>
      <c r="C147" s="4" t="n"/>
      <c r="D147" s="4" t="n"/>
      <c r="E147" s="4" t="n"/>
      <c r="F147" s="4" t="n"/>
      <c r="G147" s="4" t="n"/>
      <c r="H147" s="35">
        <f>IF(OR(E147="",F147="",G147=""),"",E147&amp;"|"&amp;F147&amp;"|"&amp;G147)</f>
        <v/>
      </c>
      <c r="I147" s="36">
        <f>IFERROR(INDEX('8. Base UE (source TCD)'!$J$4:$J$326,MATCH(H147,'8. Base UE (source TCD)'!$L$4:$L$326,0)),"")</f>
        <v/>
      </c>
      <c r="J147" s="16" t="n"/>
      <c r="K147" s="16" t="n"/>
      <c r="L147" s="36">
        <f>IF(COUNT(J147:K147)=0,"",ROUND(J147*$F$2+K147*$I$2,2))</f>
        <v/>
      </c>
      <c r="M147" s="36">
        <f>IF(L147="","",L147*I147)</f>
        <v/>
      </c>
    </row>
    <row r="148">
      <c r="A148" s="16" t="n">
        <v>144</v>
      </c>
      <c r="B148" s="18" t="n"/>
      <c r="C148" s="18" t="n"/>
      <c r="D148" s="18" t="n"/>
      <c r="E148" s="18" t="n"/>
      <c r="F148" s="18" t="n"/>
      <c r="G148" s="18" t="n"/>
      <c r="H148" s="35">
        <f>IF(OR(E148="",F148="",G148=""),"",E148&amp;"|"&amp;F148&amp;"|"&amp;G148)</f>
        <v/>
      </c>
      <c r="I148" s="36">
        <f>IFERROR(INDEX('8. Base UE (source TCD)'!$J$4:$J$326,MATCH(H148,'8. Base UE (source TCD)'!$L$4:$L$326,0)),"")</f>
        <v/>
      </c>
      <c r="J148" s="17" t="n"/>
      <c r="K148" s="17" t="n"/>
      <c r="L148" s="36">
        <f>IF(COUNT(J148:K148)=0,"",ROUND(J148*$F$2+K148*$I$2,2))</f>
        <v/>
      </c>
      <c r="M148" s="36">
        <f>IF(L148="","",L148*I148)</f>
        <v/>
      </c>
    </row>
    <row r="149">
      <c r="A149" s="16" t="n">
        <v>145</v>
      </c>
      <c r="B149" s="4" t="n"/>
      <c r="C149" s="4" t="n"/>
      <c r="D149" s="4" t="n"/>
      <c r="E149" s="4" t="n"/>
      <c r="F149" s="4" t="n"/>
      <c r="G149" s="4" t="n"/>
      <c r="H149" s="35">
        <f>IF(OR(E149="",F149="",G149=""),"",E149&amp;"|"&amp;F149&amp;"|"&amp;G149)</f>
        <v/>
      </c>
      <c r="I149" s="36">
        <f>IFERROR(INDEX('8. Base UE (source TCD)'!$J$4:$J$326,MATCH(H149,'8. Base UE (source TCD)'!$L$4:$L$326,0)),"")</f>
        <v/>
      </c>
      <c r="J149" s="16" t="n"/>
      <c r="K149" s="16" t="n"/>
      <c r="L149" s="36">
        <f>IF(COUNT(J149:K149)=0,"",ROUND(J149*$F$2+K149*$I$2,2))</f>
        <v/>
      </c>
      <c r="M149" s="36">
        <f>IF(L149="","",L149*I149)</f>
        <v/>
      </c>
    </row>
    <row r="150">
      <c r="A150" s="16" t="n">
        <v>146</v>
      </c>
      <c r="B150" s="18" t="n"/>
      <c r="C150" s="18" t="n"/>
      <c r="D150" s="18" t="n"/>
      <c r="E150" s="18" t="n"/>
      <c r="F150" s="18" t="n"/>
      <c r="G150" s="18" t="n"/>
      <c r="H150" s="35">
        <f>IF(OR(E150="",F150="",G150=""),"",E150&amp;"|"&amp;F150&amp;"|"&amp;G150)</f>
        <v/>
      </c>
      <c r="I150" s="36">
        <f>IFERROR(INDEX('8. Base UE (source TCD)'!$J$4:$J$326,MATCH(H150,'8. Base UE (source TCD)'!$L$4:$L$326,0)),"")</f>
        <v/>
      </c>
      <c r="J150" s="17" t="n"/>
      <c r="K150" s="17" t="n"/>
      <c r="L150" s="36">
        <f>IF(COUNT(J150:K150)=0,"",ROUND(J150*$F$2+K150*$I$2,2))</f>
        <v/>
      </c>
      <c r="M150" s="36">
        <f>IF(L150="","",L150*I150)</f>
        <v/>
      </c>
    </row>
    <row r="151">
      <c r="A151" s="16" t="n">
        <v>147</v>
      </c>
      <c r="B151" s="4" t="n"/>
      <c r="C151" s="4" t="n"/>
      <c r="D151" s="4" t="n"/>
      <c r="E151" s="4" t="n"/>
      <c r="F151" s="4" t="n"/>
      <c r="G151" s="4" t="n"/>
      <c r="H151" s="35">
        <f>IF(OR(E151="",F151="",G151=""),"",E151&amp;"|"&amp;F151&amp;"|"&amp;G151)</f>
        <v/>
      </c>
      <c r="I151" s="36">
        <f>IFERROR(INDEX('8. Base UE (source TCD)'!$J$4:$J$326,MATCH(H151,'8. Base UE (source TCD)'!$L$4:$L$326,0)),"")</f>
        <v/>
      </c>
      <c r="J151" s="16" t="n"/>
      <c r="K151" s="16" t="n"/>
      <c r="L151" s="36">
        <f>IF(COUNT(J151:K151)=0,"",ROUND(J151*$F$2+K151*$I$2,2))</f>
        <v/>
      </c>
      <c r="M151" s="36">
        <f>IF(L151="","",L151*I151)</f>
        <v/>
      </c>
    </row>
    <row r="152">
      <c r="A152" s="16" t="n">
        <v>148</v>
      </c>
      <c r="B152" s="18" t="n"/>
      <c r="C152" s="18" t="n"/>
      <c r="D152" s="18" t="n"/>
      <c r="E152" s="18" t="n"/>
      <c r="F152" s="18" t="n"/>
      <c r="G152" s="18" t="n"/>
      <c r="H152" s="35">
        <f>IF(OR(E152="",F152="",G152=""),"",E152&amp;"|"&amp;F152&amp;"|"&amp;G152)</f>
        <v/>
      </c>
      <c r="I152" s="36">
        <f>IFERROR(INDEX('8. Base UE (source TCD)'!$J$4:$J$326,MATCH(H152,'8. Base UE (source TCD)'!$L$4:$L$326,0)),"")</f>
        <v/>
      </c>
      <c r="J152" s="17" t="n"/>
      <c r="K152" s="17" t="n"/>
      <c r="L152" s="36">
        <f>IF(COUNT(J152:K152)=0,"",ROUND(J152*$F$2+K152*$I$2,2))</f>
        <v/>
      </c>
      <c r="M152" s="36">
        <f>IF(L152="","",L152*I152)</f>
        <v/>
      </c>
    </row>
    <row r="153">
      <c r="A153" s="16" t="n">
        <v>149</v>
      </c>
      <c r="B153" s="4" t="n"/>
      <c r="C153" s="4" t="n"/>
      <c r="D153" s="4" t="n"/>
      <c r="E153" s="4" t="n"/>
      <c r="F153" s="4" t="n"/>
      <c r="G153" s="4" t="n"/>
      <c r="H153" s="35">
        <f>IF(OR(E153="",F153="",G153=""),"",E153&amp;"|"&amp;F153&amp;"|"&amp;G153)</f>
        <v/>
      </c>
      <c r="I153" s="36">
        <f>IFERROR(INDEX('8. Base UE (source TCD)'!$J$4:$J$326,MATCH(H153,'8. Base UE (source TCD)'!$L$4:$L$326,0)),"")</f>
        <v/>
      </c>
      <c r="J153" s="16" t="n"/>
      <c r="K153" s="16" t="n"/>
      <c r="L153" s="36">
        <f>IF(COUNT(J153:K153)=0,"",ROUND(J153*$F$2+K153*$I$2,2))</f>
        <v/>
      </c>
      <c r="M153" s="36">
        <f>IF(L153="","",L153*I153)</f>
        <v/>
      </c>
    </row>
    <row r="154">
      <c r="A154" s="16" t="n">
        <v>150</v>
      </c>
      <c r="B154" s="18" t="n"/>
      <c r="C154" s="18" t="n"/>
      <c r="D154" s="18" t="n"/>
      <c r="E154" s="18" t="n"/>
      <c r="F154" s="18" t="n"/>
      <c r="G154" s="18" t="n"/>
      <c r="H154" s="35">
        <f>IF(OR(E154="",F154="",G154=""),"",E154&amp;"|"&amp;F154&amp;"|"&amp;G154)</f>
        <v/>
      </c>
      <c r="I154" s="36">
        <f>IFERROR(INDEX('8. Base UE (source TCD)'!$J$4:$J$326,MATCH(H154,'8. Base UE (source TCD)'!$L$4:$L$326,0)),"")</f>
        <v/>
      </c>
      <c r="J154" s="17" t="n"/>
      <c r="K154" s="17" t="n"/>
      <c r="L154" s="36">
        <f>IF(COUNT(J154:K154)=0,"",ROUND(J154*$F$2+K154*$I$2,2))</f>
        <v/>
      </c>
      <c r="M154" s="36">
        <f>IF(L154="","",L154*I154)</f>
        <v/>
      </c>
    </row>
    <row r="155">
      <c r="A155" s="16" t="n">
        <v>151</v>
      </c>
      <c r="B155" s="4" t="n"/>
      <c r="C155" s="4" t="n"/>
      <c r="D155" s="4" t="n"/>
      <c r="E155" s="4" t="n"/>
      <c r="F155" s="4" t="n"/>
      <c r="G155" s="4" t="n"/>
      <c r="H155" s="35">
        <f>IF(OR(E155="",F155="",G155=""),"",E155&amp;"|"&amp;F155&amp;"|"&amp;G155)</f>
        <v/>
      </c>
      <c r="I155" s="36">
        <f>IFERROR(INDEX('8. Base UE (source TCD)'!$J$4:$J$326,MATCH(H155,'8. Base UE (source TCD)'!$L$4:$L$326,0)),"")</f>
        <v/>
      </c>
      <c r="J155" s="16" t="n"/>
      <c r="K155" s="16" t="n"/>
      <c r="L155" s="36">
        <f>IF(COUNT(J155:K155)=0,"",ROUND(J155*$F$2+K155*$I$2,2))</f>
        <v/>
      </c>
      <c r="M155" s="36">
        <f>IF(L155="","",L155*I155)</f>
        <v/>
      </c>
    </row>
    <row r="156">
      <c r="A156" s="16" t="n">
        <v>152</v>
      </c>
      <c r="B156" s="18" t="n"/>
      <c r="C156" s="18" t="n"/>
      <c r="D156" s="18" t="n"/>
      <c r="E156" s="18" t="n"/>
      <c r="F156" s="18" t="n"/>
      <c r="G156" s="18" t="n"/>
      <c r="H156" s="35">
        <f>IF(OR(E156="",F156="",G156=""),"",E156&amp;"|"&amp;F156&amp;"|"&amp;G156)</f>
        <v/>
      </c>
      <c r="I156" s="36">
        <f>IFERROR(INDEX('8. Base UE (source TCD)'!$J$4:$J$326,MATCH(H156,'8. Base UE (source TCD)'!$L$4:$L$326,0)),"")</f>
        <v/>
      </c>
      <c r="J156" s="17" t="n"/>
      <c r="K156" s="17" t="n"/>
      <c r="L156" s="36">
        <f>IF(COUNT(J156:K156)=0,"",ROUND(J156*$F$2+K156*$I$2,2))</f>
        <v/>
      </c>
      <c r="M156" s="36">
        <f>IF(L156="","",L156*I156)</f>
        <v/>
      </c>
    </row>
    <row r="157">
      <c r="A157" s="16" t="n">
        <v>153</v>
      </c>
      <c r="B157" s="4" t="n"/>
      <c r="C157" s="4" t="n"/>
      <c r="D157" s="4" t="n"/>
      <c r="E157" s="4" t="n"/>
      <c r="F157" s="4" t="n"/>
      <c r="G157" s="4" t="n"/>
      <c r="H157" s="35">
        <f>IF(OR(E157="",F157="",G157=""),"",E157&amp;"|"&amp;F157&amp;"|"&amp;G157)</f>
        <v/>
      </c>
      <c r="I157" s="36">
        <f>IFERROR(INDEX('8. Base UE (source TCD)'!$J$4:$J$326,MATCH(H157,'8. Base UE (source TCD)'!$L$4:$L$326,0)),"")</f>
        <v/>
      </c>
      <c r="J157" s="16" t="n"/>
      <c r="K157" s="16" t="n"/>
      <c r="L157" s="36">
        <f>IF(COUNT(J157:K157)=0,"",ROUND(J157*$F$2+K157*$I$2,2))</f>
        <v/>
      </c>
      <c r="M157" s="36">
        <f>IF(L157="","",L157*I157)</f>
        <v/>
      </c>
    </row>
    <row r="158">
      <c r="A158" s="16" t="n">
        <v>154</v>
      </c>
      <c r="B158" s="18" t="n"/>
      <c r="C158" s="18" t="n"/>
      <c r="D158" s="18" t="n"/>
      <c r="E158" s="18" t="n"/>
      <c r="F158" s="18" t="n"/>
      <c r="G158" s="18" t="n"/>
      <c r="H158" s="35">
        <f>IF(OR(E158="",F158="",G158=""),"",E158&amp;"|"&amp;F158&amp;"|"&amp;G158)</f>
        <v/>
      </c>
      <c r="I158" s="36">
        <f>IFERROR(INDEX('8. Base UE (source TCD)'!$J$4:$J$326,MATCH(H158,'8. Base UE (source TCD)'!$L$4:$L$326,0)),"")</f>
        <v/>
      </c>
      <c r="J158" s="17" t="n"/>
      <c r="K158" s="17" t="n"/>
      <c r="L158" s="36">
        <f>IF(COUNT(J158:K158)=0,"",ROUND(J158*$F$2+K158*$I$2,2))</f>
        <v/>
      </c>
      <c r="M158" s="36">
        <f>IF(L158="","",L158*I158)</f>
        <v/>
      </c>
    </row>
    <row r="159">
      <c r="A159" s="16" t="n">
        <v>155</v>
      </c>
      <c r="B159" s="4" t="n"/>
      <c r="C159" s="4" t="n"/>
      <c r="D159" s="4" t="n"/>
      <c r="E159" s="4" t="n"/>
      <c r="F159" s="4" t="n"/>
      <c r="G159" s="4" t="n"/>
      <c r="H159" s="35">
        <f>IF(OR(E159="",F159="",G159=""),"",E159&amp;"|"&amp;F159&amp;"|"&amp;G159)</f>
        <v/>
      </c>
      <c r="I159" s="36">
        <f>IFERROR(INDEX('8. Base UE (source TCD)'!$J$4:$J$326,MATCH(H159,'8. Base UE (source TCD)'!$L$4:$L$326,0)),"")</f>
        <v/>
      </c>
      <c r="J159" s="16" t="n"/>
      <c r="K159" s="16" t="n"/>
      <c r="L159" s="36">
        <f>IF(COUNT(J159:K159)=0,"",ROUND(J159*$F$2+K159*$I$2,2))</f>
        <v/>
      </c>
      <c r="M159" s="36">
        <f>IF(L159="","",L159*I159)</f>
        <v/>
      </c>
    </row>
    <row r="160">
      <c r="A160" s="16" t="n">
        <v>156</v>
      </c>
      <c r="B160" s="18" t="n"/>
      <c r="C160" s="18" t="n"/>
      <c r="D160" s="18" t="n"/>
      <c r="E160" s="18" t="n"/>
      <c r="F160" s="18" t="n"/>
      <c r="G160" s="18" t="n"/>
      <c r="H160" s="35">
        <f>IF(OR(E160="",F160="",G160=""),"",E160&amp;"|"&amp;F160&amp;"|"&amp;G160)</f>
        <v/>
      </c>
      <c r="I160" s="36">
        <f>IFERROR(INDEX('8. Base UE (source TCD)'!$J$4:$J$326,MATCH(H160,'8. Base UE (source TCD)'!$L$4:$L$326,0)),"")</f>
        <v/>
      </c>
      <c r="J160" s="17" t="n"/>
      <c r="K160" s="17" t="n"/>
      <c r="L160" s="36">
        <f>IF(COUNT(J160:K160)=0,"",ROUND(J160*$F$2+K160*$I$2,2))</f>
        <v/>
      </c>
      <c r="M160" s="36">
        <f>IF(L160="","",L160*I160)</f>
        <v/>
      </c>
    </row>
    <row r="161">
      <c r="A161" s="16" t="n">
        <v>157</v>
      </c>
      <c r="B161" s="4" t="n"/>
      <c r="C161" s="4" t="n"/>
      <c r="D161" s="4" t="n"/>
      <c r="E161" s="4" t="n"/>
      <c r="F161" s="4" t="n"/>
      <c r="G161" s="4" t="n"/>
      <c r="H161" s="35">
        <f>IF(OR(E161="",F161="",G161=""),"",E161&amp;"|"&amp;F161&amp;"|"&amp;G161)</f>
        <v/>
      </c>
      <c r="I161" s="36">
        <f>IFERROR(INDEX('8. Base UE (source TCD)'!$J$4:$J$326,MATCH(H161,'8. Base UE (source TCD)'!$L$4:$L$326,0)),"")</f>
        <v/>
      </c>
      <c r="J161" s="16" t="n"/>
      <c r="K161" s="16" t="n"/>
      <c r="L161" s="36">
        <f>IF(COUNT(J161:K161)=0,"",ROUND(J161*$F$2+K161*$I$2,2))</f>
        <v/>
      </c>
      <c r="M161" s="36">
        <f>IF(L161="","",L161*I161)</f>
        <v/>
      </c>
    </row>
    <row r="162">
      <c r="A162" s="16" t="n">
        <v>158</v>
      </c>
      <c r="B162" s="18" t="n"/>
      <c r="C162" s="18" t="n"/>
      <c r="D162" s="18" t="n"/>
      <c r="E162" s="18" t="n"/>
      <c r="F162" s="18" t="n"/>
      <c r="G162" s="18" t="n"/>
      <c r="H162" s="35">
        <f>IF(OR(E162="",F162="",G162=""),"",E162&amp;"|"&amp;F162&amp;"|"&amp;G162)</f>
        <v/>
      </c>
      <c r="I162" s="36">
        <f>IFERROR(INDEX('8. Base UE (source TCD)'!$J$4:$J$326,MATCH(H162,'8. Base UE (source TCD)'!$L$4:$L$326,0)),"")</f>
        <v/>
      </c>
      <c r="J162" s="17" t="n"/>
      <c r="K162" s="17" t="n"/>
      <c r="L162" s="36">
        <f>IF(COUNT(J162:K162)=0,"",ROUND(J162*$F$2+K162*$I$2,2))</f>
        <v/>
      </c>
      <c r="M162" s="36">
        <f>IF(L162="","",L162*I162)</f>
        <v/>
      </c>
    </row>
    <row r="163">
      <c r="A163" s="16" t="n">
        <v>159</v>
      </c>
      <c r="B163" s="4" t="n"/>
      <c r="C163" s="4" t="n"/>
      <c r="D163" s="4" t="n"/>
      <c r="E163" s="4" t="n"/>
      <c r="F163" s="4" t="n"/>
      <c r="G163" s="4" t="n"/>
      <c r="H163" s="35">
        <f>IF(OR(E163="",F163="",G163=""),"",E163&amp;"|"&amp;F163&amp;"|"&amp;G163)</f>
        <v/>
      </c>
      <c r="I163" s="36">
        <f>IFERROR(INDEX('8. Base UE (source TCD)'!$J$4:$J$326,MATCH(H163,'8. Base UE (source TCD)'!$L$4:$L$326,0)),"")</f>
        <v/>
      </c>
      <c r="J163" s="16" t="n"/>
      <c r="K163" s="16" t="n"/>
      <c r="L163" s="36">
        <f>IF(COUNT(J163:K163)=0,"",ROUND(J163*$F$2+K163*$I$2,2))</f>
        <v/>
      </c>
      <c r="M163" s="36">
        <f>IF(L163="","",L163*I163)</f>
        <v/>
      </c>
    </row>
    <row r="164">
      <c r="A164" s="16" t="n">
        <v>160</v>
      </c>
      <c r="B164" s="18" t="n"/>
      <c r="C164" s="18" t="n"/>
      <c r="D164" s="18" t="n"/>
      <c r="E164" s="18" t="n"/>
      <c r="F164" s="18" t="n"/>
      <c r="G164" s="18" t="n"/>
      <c r="H164" s="35">
        <f>IF(OR(E164="",F164="",G164=""),"",E164&amp;"|"&amp;F164&amp;"|"&amp;G164)</f>
        <v/>
      </c>
      <c r="I164" s="36">
        <f>IFERROR(INDEX('8. Base UE (source TCD)'!$J$4:$J$326,MATCH(H164,'8. Base UE (source TCD)'!$L$4:$L$326,0)),"")</f>
        <v/>
      </c>
      <c r="J164" s="17" t="n"/>
      <c r="K164" s="17" t="n"/>
      <c r="L164" s="36">
        <f>IF(COUNT(J164:K164)=0,"",ROUND(J164*$F$2+K164*$I$2,2))</f>
        <v/>
      </c>
      <c r="M164" s="36">
        <f>IF(L164="","",L164*I164)</f>
        <v/>
      </c>
    </row>
    <row r="165">
      <c r="A165" s="16" t="n">
        <v>161</v>
      </c>
      <c r="B165" s="4" t="n"/>
      <c r="C165" s="4" t="n"/>
      <c r="D165" s="4" t="n"/>
      <c r="E165" s="4" t="n"/>
      <c r="F165" s="4" t="n"/>
      <c r="G165" s="4" t="n"/>
      <c r="H165" s="35">
        <f>IF(OR(E165="",F165="",G165=""),"",E165&amp;"|"&amp;F165&amp;"|"&amp;G165)</f>
        <v/>
      </c>
      <c r="I165" s="36">
        <f>IFERROR(INDEX('8. Base UE (source TCD)'!$J$4:$J$326,MATCH(H165,'8. Base UE (source TCD)'!$L$4:$L$326,0)),"")</f>
        <v/>
      </c>
      <c r="J165" s="16" t="n"/>
      <c r="K165" s="16" t="n"/>
      <c r="L165" s="36">
        <f>IF(COUNT(J165:K165)=0,"",ROUND(J165*$F$2+K165*$I$2,2))</f>
        <v/>
      </c>
      <c r="M165" s="36">
        <f>IF(L165="","",L165*I165)</f>
        <v/>
      </c>
    </row>
    <row r="166">
      <c r="A166" s="16" t="n">
        <v>162</v>
      </c>
      <c r="B166" s="18" t="n"/>
      <c r="C166" s="18" t="n"/>
      <c r="D166" s="18" t="n"/>
      <c r="E166" s="18" t="n"/>
      <c r="F166" s="18" t="n"/>
      <c r="G166" s="18" t="n"/>
      <c r="H166" s="35">
        <f>IF(OR(E166="",F166="",G166=""),"",E166&amp;"|"&amp;F166&amp;"|"&amp;G166)</f>
        <v/>
      </c>
      <c r="I166" s="36">
        <f>IFERROR(INDEX('8. Base UE (source TCD)'!$J$4:$J$326,MATCH(H166,'8. Base UE (source TCD)'!$L$4:$L$326,0)),"")</f>
        <v/>
      </c>
      <c r="J166" s="17" t="n"/>
      <c r="K166" s="17" t="n"/>
      <c r="L166" s="36">
        <f>IF(COUNT(J166:K166)=0,"",ROUND(J166*$F$2+K166*$I$2,2))</f>
        <v/>
      </c>
      <c r="M166" s="36">
        <f>IF(L166="","",L166*I166)</f>
        <v/>
      </c>
    </row>
    <row r="167">
      <c r="A167" s="16" t="n">
        <v>163</v>
      </c>
      <c r="B167" s="4" t="n"/>
      <c r="C167" s="4" t="n"/>
      <c r="D167" s="4" t="n"/>
      <c r="E167" s="4" t="n"/>
      <c r="F167" s="4" t="n"/>
      <c r="G167" s="4" t="n"/>
      <c r="H167" s="35">
        <f>IF(OR(E167="",F167="",G167=""),"",E167&amp;"|"&amp;F167&amp;"|"&amp;G167)</f>
        <v/>
      </c>
      <c r="I167" s="36">
        <f>IFERROR(INDEX('8. Base UE (source TCD)'!$J$4:$J$326,MATCH(H167,'8. Base UE (source TCD)'!$L$4:$L$326,0)),"")</f>
        <v/>
      </c>
      <c r="J167" s="16" t="n"/>
      <c r="K167" s="16" t="n"/>
      <c r="L167" s="36">
        <f>IF(COUNT(J167:K167)=0,"",ROUND(J167*$F$2+K167*$I$2,2))</f>
        <v/>
      </c>
      <c r="M167" s="36">
        <f>IF(L167="","",L167*I167)</f>
        <v/>
      </c>
    </row>
    <row r="168">
      <c r="A168" s="16" t="n">
        <v>164</v>
      </c>
      <c r="B168" s="18" t="n"/>
      <c r="C168" s="18" t="n"/>
      <c r="D168" s="18" t="n"/>
      <c r="E168" s="18" t="n"/>
      <c r="F168" s="18" t="n"/>
      <c r="G168" s="18" t="n"/>
      <c r="H168" s="35">
        <f>IF(OR(E168="",F168="",G168=""),"",E168&amp;"|"&amp;F168&amp;"|"&amp;G168)</f>
        <v/>
      </c>
      <c r="I168" s="36">
        <f>IFERROR(INDEX('8. Base UE (source TCD)'!$J$4:$J$326,MATCH(H168,'8. Base UE (source TCD)'!$L$4:$L$326,0)),"")</f>
        <v/>
      </c>
      <c r="J168" s="17" t="n"/>
      <c r="K168" s="17" t="n"/>
      <c r="L168" s="36">
        <f>IF(COUNT(J168:K168)=0,"",ROUND(J168*$F$2+K168*$I$2,2))</f>
        <v/>
      </c>
      <c r="M168" s="36">
        <f>IF(L168="","",L168*I168)</f>
        <v/>
      </c>
    </row>
    <row r="169">
      <c r="A169" s="16" t="n">
        <v>165</v>
      </c>
      <c r="B169" s="4" t="n"/>
      <c r="C169" s="4" t="n"/>
      <c r="D169" s="4" t="n"/>
      <c r="E169" s="4" t="n"/>
      <c r="F169" s="4" t="n"/>
      <c r="G169" s="4" t="n"/>
      <c r="H169" s="35">
        <f>IF(OR(E169="",F169="",G169=""),"",E169&amp;"|"&amp;F169&amp;"|"&amp;G169)</f>
        <v/>
      </c>
      <c r="I169" s="36">
        <f>IFERROR(INDEX('8. Base UE (source TCD)'!$J$4:$J$326,MATCH(H169,'8. Base UE (source TCD)'!$L$4:$L$326,0)),"")</f>
        <v/>
      </c>
      <c r="J169" s="16" t="n"/>
      <c r="K169" s="16" t="n"/>
      <c r="L169" s="36">
        <f>IF(COUNT(J169:K169)=0,"",ROUND(J169*$F$2+K169*$I$2,2))</f>
        <v/>
      </c>
      <c r="M169" s="36">
        <f>IF(L169="","",L169*I169)</f>
        <v/>
      </c>
    </row>
    <row r="170">
      <c r="A170" s="16" t="n">
        <v>166</v>
      </c>
      <c r="B170" s="18" t="n"/>
      <c r="C170" s="18" t="n"/>
      <c r="D170" s="18" t="n"/>
      <c r="E170" s="18" t="n"/>
      <c r="F170" s="18" t="n"/>
      <c r="G170" s="18" t="n"/>
      <c r="H170" s="35">
        <f>IF(OR(E170="",F170="",G170=""),"",E170&amp;"|"&amp;F170&amp;"|"&amp;G170)</f>
        <v/>
      </c>
      <c r="I170" s="36">
        <f>IFERROR(INDEX('8. Base UE (source TCD)'!$J$4:$J$326,MATCH(H170,'8. Base UE (source TCD)'!$L$4:$L$326,0)),"")</f>
        <v/>
      </c>
      <c r="J170" s="17" t="n"/>
      <c r="K170" s="17" t="n"/>
      <c r="L170" s="36">
        <f>IF(COUNT(J170:K170)=0,"",ROUND(J170*$F$2+K170*$I$2,2))</f>
        <v/>
      </c>
      <c r="M170" s="36">
        <f>IF(L170="","",L170*I170)</f>
        <v/>
      </c>
    </row>
    <row r="171">
      <c r="A171" s="16" t="n">
        <v>167</v>
      </c>
      <c r="B171" s="4" t="n"/>
      <c r="C171" s="4" t="n"/>
      <c r="D171" s="4" t="n"/>
      <c r="E171" s="4" t="n"/>
      <c r="F171" s="4" t="n"/>
      <c r="G171" s="4" t="n"/>
      <c r="H171" s="35">
        <f>IF(OR(E171="",F171="",G171=""),"",E171&amp;"|"&amp;F171&amp;"|"&amp;G171)</f>
        <v/>
      </c>
      <c r="I171" s="36">
        <f>IFERROR(INDEX('8. Base UE (source TCD)'!$J$4:$J$326,MATCH(H171,'8. Base UE (source TCD)'!$L$4:$L$326,0)),"")</f>
        <v/>
      </c>
      <c r="J171" s="16" t="n"/>
      <c r="K171" s="16" t="n"/>
      <c r="L171" s="36">
        <f>IF(COUNT(J171:K171)=0,"",ROUND(J171*$F$2+K171*$I$2,2))</f>
        <v/>
      </c>
      <c r="M171" s="36">
        <f>IF(L171="","",L171*I171)</f>
        <v/>
      </c>
    </row>
    <row r="172">
      <c r="A172" s="16" t="n">
        <v>168</v>
      </c>
      <c r="B172" s="18" t="n"/>
      <c r="C172" s="18" t="n"/>
      <c r="D172" s="18" t="n"/>
      <c r="E172" s="18" t="n"/>
      <c r="F172" s="18" t="n"/>
      <c r="G172" s="18" t="n"/>
      <c r="H172" s="35">
        <f>IF(OR(E172="",F172="",G172=""),"",E172&amp;"|"&amp;F172&amp;"|"&amp;G172)</f>
        <v/>
      </c>
      <c r="I172" s="36">
        <f>IFERROR(INDEX('8. Base UE (source TCD)'!$J$4:$J$326,MATCH(H172,'8. Base UE (source TCD)'!$L$4:$L$326,0)),"")</f>
        <v/>
      </c>
      <c r="J172" s="17" t="n"/>
      <c r="K172" s="17" t="n"/>
      <c r="L172" s="36">
        <f>IF(COUNT(J172:K172)=0,"",ROUND(J172*$F$2+K172*$I$2,2))</f>
        <v/>
      </c>
      <c r="M172" s="36">
        <f>IF(L172="","",L172*I172)</f>
        <v/>
      </c>
    </row>
    <row r="173">
      <c r="A173" s="16" t="n">
        <v>169</v>
      </c>
      <c r="B173" s="4" t="n"/>
      <c r="C173" s="4" t="n"/>
      <c r="D173" s="4" t="n"/>
      <c r="E173" s="4" t="n"/>
      <c r="F173" s="4" t="n"/>
      <c r="G173" s="4" t="n"/>
      <c r="H173" s="35">
        <f>IF(OR(E173="",F173="",G173=""),"",E173&amp;"|"&amp;F173&amp;"|"&amp;G173)</f>
        <v/>
      </c>
      <c r="I173" s="36">
        <f>IFERROR(INDEX('8. Base UE (source TCD)'!$J$4:$J$326,MATCH(H173,'8. Base UE (source TCD)'!$L$4:$L$326,0)),"")</f>
        <v/>
      </c>
      <c r="J173" s="16" t="n"/>
      <c r="K173" s="16" t="n"/>
      <c r="L173" s="36">
        <f>IF(COUNT(J173:K173)=0,"",ROUND(J173*$F$2+K173*$I$2,2))</f>
        <v/>
      </c>
      <c r="M173" s="36">
        <f>IF(L173="","",L173*I173)</f>
        <v/>
      </c>
    </row>
    <row r="174">
      <c r="A174" s="16" t="n">
        <v>170</v>
      </c>
      <c r="B174" s="18" t="n"/>
      <c r="C174" s="18" t="n"/>
      <c r="D174" s="18" t="n"/>
      <c r="E174" s="18" t="n"/>
      <c r="F174" s="18" t="n"/>
      <c r="G174" s="18" t="n"/>
      <c r="H174" s="35">
        <f>IF(OR(E174="",F174="",G174=""),"",E174&amp;"|"&amp;F174&amp;"|"&amp;G174)</f>
        <v/>
      </c>
      <c r="I174" s="36">
        <f>IFERROR(INDEX('8. Base UE (source TCD)'!$J$4:$J$326,MATCH(H174,'8. Base UE (source TCD)'!$L$4:$L$326,0)),"")</f>
        <v/>
      </c>
      <c r="J174" s="17" t="n"/>
      <c r="K174" s="17" t="n"/>
      <c r="L174" s="36">
        <f>IF(COUNT(J174:K174)=0,"",ROUND(J174*$F$2+K174*$I$2,2))</f>
        <v/>
      </c>
      <c r="M174" s="36">
        <f>IF(L174="","",L174*I174)</f>
        <v/>
      </c>
    </row>
    <row r="175">
      <c r="A175" s="16" t="n">
        <v>171</v>
      </c>
      <c r="B175" s="4" t="n"/>
      <c r="C175" s="4" t="n"/>
      <c r="D175" s="4" t="n"/>
      <c r="E175" s="4" t="n"/>
      <c r="F175" s="4" t="n"/>
      <c r="G175" s="4" t="n"/>
      <c r="H175" s="35">
        <f>IF(OR(E175="",F175="",G175=""),"",E175&amp;"|"&amp;F175&amp;"|"&amp;G175)</f>
        <v/>
      </c>
      <c r="I175" s="36">
        <f>IFERROR(INDEX('8. Base UE (source TCD)'!$J$4:$J$326,MATCH(H175,'8. Base UE (source TCD)'!$L$4:$L$326,0)),"")</f>
        <v/>
      </c>
      <c r="J175" s="16" t="n"/>
      <c r="K175" s="16" t="n"/>
      <c r="L175" s="36">
        <f>IF(COUNT(J175:K175)=0,"",ROUND(J175*$F$2+K175*$I$2,2))</f>
        <v/>
      </c>
      <c r="M175" s="36">
        <f>IF(L175="","",L175*I175)</f>
        <v/>
      </c>
    </row>
    <row r="176">
      <c r="A176" s="16" t="n">
        <v>172</v>
      </c>
      <c r="B176" s="18" t="n"/>
      <c r="C176" s="18" t="n"/>
      <c r="D176" s="18" t="n"/>
      <c r="E176" s="18" t="n"/>
      <c r="F176" s="18" t="n"/>
      <c r="G176" s="18" t="n"/>
      <c r="H176" s="35">
        <f>IF(OR(E176="",F176="",G176=""),"",E176&amp;"|"&amp;F176&amp;"|"&amp;G176)</f>
        <v/>
      </c>
      <c r="I176" s="36">
        <f>IFERROR(INDEX('8. Base UE (source TCD)'!$J$4:$J$326,MATCH(H176,'8. Base UE (source TCD)'!$L$4:$L$326,0)),"")</f>
        <v/>
      </c>
      <c r="J176" s="17" t="n"/>
      <c r="K176" s="17" t="n"/>
      <c r="L176" s="36">
        <f>IF(COUNT(J176:K176)=0,"",ROUND(J176*$F$2+K176*$I$2,2))</f>
        <v/>
      </c>
      <c r="M176" s="36">
        <f>IF(L176="","",L176*I176)</f>
        <v/>
      </c>
    </row>
    <row r="177">
      <c r="A177" s="16" t="n">
        <v>173</v>
      </c>
      <c r="B177" s="4" t="n"/>
      <c r="C177" s="4" t="n"/>
      <c r="D177" s="4" t="n"/>
      <c r="E177" s="4" t="n"/>
      <c r="F177" s="4" t="n"/>
      <c r="G177" s="4" t="n"/>
      <c r="H177" s="35">
        <f>IF(OR(E177="",F177="",G177=""),"",E177&amp;"|"&amp;F177&amp;"|"&amp;G177)</f>
        <v/>
      </c>
      <c r="I177" s="36">
        <f>IFERROR(INDEX('8. Base UE (source TCD)'!$J$4:$J$326,MATCH(H177,'8. Base UE (source TCD)'!$L$4:$L$326,0)),"")</f>
        <v/>
      </c>
      <c r="J177" s="16" t="n"/>
      <c r="K177" s="16" t="n"/>
      <c r="L177" s="36">
        <f>IF(COUNT(J177:K177)=0,"",ROUND(J177*$F$2+K177*$I$2,2))</f>
        <v/>
      </c>
      <c r="M177" s="36">
        <f>IF(L177="","",L177*I177)</f>
        <v/>
      </c>
    </row>
    <row r="178">
      <c r="A178" s="16" t="n">
        <v>174</v>
      </c>
      <c r="B178" s="18" t="n"/>
      <c r="C178" s="18" t="n"/>
      <c r="D178" s="18" t="n"/>
      <c r="E178" s="18" t="n"/>
      <c r="F178" s="18" t="n"/>
      <c r="G178" s="18" t="n"/>
      <c r="H178" s="35">
        <f>IF(OR(E178="",F178="",G178=""),"",E178&amp;"|"&amp;F178&amp;"|"&amp;G178)</f>
        <v/>
      </c>
      <c r="I178" s="36">
        <f>IFERROR(INDEX('8. Base UE (source TCD)'!$J$4:$J$326,MATCH(H178,'8. Base UE (source TCD)'!$L$4:$L$326,0)),"")</f>
        <v/>
      </c>
      <c r="J178" s="17" t="n"/>
      <c r="K178" s="17" t="n"/>
      <c r="L178" s="36">
        <f>IF(COUNT(J178:K178)=0,"",ROUND(J178*$F$2+K178*$I$2,2))</f>
        <v/>
      </c>
      <c r="M178" s="36">
        <f>IF(L178="","",L178*I178)</f>
        <v/>
      </c>
    </row>
    <row r="179">
      <c r="A179" s="16" t="n">
        <v>175</v>
      </c>
      <c r="B179" s="4" t="n"/>
      <c r="C179" s="4" t="n"/>
      <c r="D179" s="4" t="n"/>
      <c r="E179" s="4" t="n"/>
      <c r="F179" s="4" t="n"/>
      <c r="G179" s="4" t="n"/>
      <c r="H179" s="35">
        <f>IF(OR(E179="",F179="",G179=""),"",E179&amp;"|"&amp;F179&amp;"|"&amp;G179)</f>
        <v/>
      </c>
      <c r="I179" s="36">
        <f>IFERROR(INDEX('8. Base UE (source TCD)'!$J$4:$J$326,MATCH(H179,'8. Base UE (source TCD)'!$L$4:$L$326,0)),"")</f>
        <v/>
      </c>
      <c r="J179" s="16" t="n"/>
      <c r="K179" s="16" t="n"/>
      <c r="L179" s="36">
        <f>IF(COUNT(J179:K179)=0,"",ROUND(J179*$F$2+K179*$I$2,2))</f>
        <v/>
      </c>
      <c r="M179" s="36">
        <f>IF(L179="","",L179*I179)</f>
        <v/>
      </c>
    </row>
    <row r="180">
      <c r="A180" s="16" t="n">
        <v>176</v>
      </c>
      <c r="B180" s="18" t="n"/>
      <c r="C180" s="18" t="n"/>
      <c r="D180" s="18" t="n"/>
      <c r="E180" s="18" t="n"/>
      <c r="F180" s="18" t="n"/>
      <c r="G180" s="18" t="n"/>
      <c r="H180" s="35">
        <f>IF(OR(E180="",F180="",G180=""),"",E180&amp;"|"&amp;F180&amp;"|"&amp;G180)</f>
        <v/>
      </c>
      <c r="I180" s="36">
        <f>IFERROR(INDEX('8. Base UE (source TCD)'!$J$4:$J$326,MATCH(H180,'8. Base UE (source TCD)'!$L$4:$L$326,0)),"")</f>
        <v/>
      </c>
      <c r="J180" s="17" t="n"/>
      <c r="K180" s="17" t="n"/>
      <c r="L180" s="36">
        <f>IF(COUNT(J180:K180)=0,"",ROUND(J180*$F$2+K180*$I$2,2))</f>
        <v/>
      </c>
      <c r="M180" s="36">
        <f>IF(L180="","",L180*I180)</f>
        <v/>
      </c>
    </row>
    <row r="181">
      <c r="A181" s="16" t="n">
        <v>177</v>
      </c>
      <c r="B181" s="4" t="n"/>
      <c r="C181" s="4" t="n"/>
      <c r="D181" s="4" t="n"/>
      <c r="E181" s="4" t="n"/>
      <c r="F181" s="4" t="n"/>
      <c r="G181" s="4" t="n"/>
      <c r="H181" s="35">
        <f>IF(OR(E181="",F181="",G181=""),"",E181&amp;"|"&amp;F181&amp;"|"&amp;G181)</f>
        <v/>
      </c>
      <c r="I181" s="36">
        <f>IFERROR(INDEX('8. Base UE (source TCD)'!$J$4:$J$326,MATCH(H181,'8. Base UE (source TCD)'!$L$4:$L$326,0)),"")</f>
        <v/>
      </c>
      <c r="J181" s="16" t="n"/>
      <c r="K181" s="16" t="n"/>
      <c r="L181" s="36">
        <f>IF(COUNT(J181:K181)=0,"",ROUND(J181*$F$2+K181*$I$2,2))</f>
        <v/>
      </c>
      <c r="M181" s="36">
        <f>IF(L181="","",L181*I181)</f>
        <v/>
      </c>
    </row>
    <row r="182">
      <c r="A182" s="16" t="n">
        <v>178</v>
      </c>
      <c r="B182" s="18" t="n"/>
      <c r="C182" s="18" t="n"/>
      <c r="D182" s="18" t="n"/>
      <c r="E182" s="18" t="n"/>
      <c r="F182" s="18" t="n"/>
      <c r="G182" s="18" t="n"/>
      <c r="H182" s="35">
        <f>IF(OR(E182="",F182="",G182=""),"",E182&amp;"|"&amp;F182&amp;"|"&amp;G182)</f>
        <v/>
      </c>
      <c r="I182" s="36">
        <f>IFERROR(INDEX('8. Base UE (source TCD)'!$J$4:$J$326,MATCH(H182,'8. Base UE (source TCD)'!$L$4:$L$326,0)),"")</f>
        <v/>
      </c>
      <c r="J182" s="17" t="n"/>
      <c r="K182" s="17" t="n"/>
      <c r="L182" s="36">
        <f>IF(COUNT(J182:K182)=0,"",ROUND(J182*$F$2+K182*$I$2,2))</f>
        <v/>
      </c>
      <c r="M182" s="36">
        <f>IF(L182="","",L182*I182)</f>
        <v/>
      </c>
    </row>
    <row r="183">
      <c r="A183" s="16" t="n">
        <v>179</v>
      </c>
      <c r="B183" s="4" t="n"/>
      <c r="C183" s="4" t="n"/>
      <c r="D183" s="4" t="n"/>
      <c r="E183" s="4" t="n"/>
      <c r="F183" s="4" t="n"/>
      <c r="G183" s="4" t="n"/>
      <c r="H183" s="35">
        <f>IF(OR(E183="",F183="",G183=""),"",E183&amp;"|"&amp;F183&amp;"|"&amp;G183)</f>
        <v/>
      </c>
      <c r="I183" s="36">
        <f>IFERROR(INDEX('8. Base UE (source TCD)'!$J$4:$J$326,MATCH(H183,'8. Base UE (source TCD)'!$L$4:$L$326,0)),"")</f>
        <v/>
      </c>
      <c r="J183" s="16" t="n"/>
      <c r="K183" s="16" t="n"/>
      <c r="L183" s="36">
        <f>IF(COUNT(J183:K183)=0,"",ROUND(J183*$F$2+K183*$I$2,2))</f>
        <v/>
      </c>
      <c r="M183" s="36">
        <f>IF(L183="","",L183*I183)</f>
        <v/>
      </c>
    </row>
    <row r="184">
      <c r="A184" s="16" t="n">
        <v>180</v>
      </c>
      <c r="B184" s="18" t="n"/>
      <c r="C184" s="18" t="n"/>
      <c r="D184" s="18" t="n"/>
      <c r="E184" s="18" t="n"/>
      <c r="F184" s="18" t="n"/>
      <c r="G184" s="18" t="n"/>
      <c r="H184" s="35">
        <f>IF(OR(E184="",F184="",G184=""),"",E184&amp;"|"&amp;F184&amp;"|"&amp;G184)</f>
        <v/>
      </c>
      <c r="I184" s="36">
        <f>IFERROR(INDEX('8. Base UE (source TCD)'!$J$4:$J$326,MATCH(H184,'8. Base UE (source TCD)'!$L$4:$L$326,0)),"")</f>
        <v/>
      </c>
      <c r="J184" s="17" t="n"/>
      <c r="K184" s="17" t="n"/>
      <c r="L184" s="36">
        <f>IF(COUNT(J184:K184)=0,"",ROUND(J184*$F$2+K184*$I$2,2))</f>
        <v/>
      </c>
      <c r="M184" s="36">
        <f>IF(L184="","",L184*I184)</f>
        <v/>
      </c>
    </row>
    <row r="185">
      <c r="A185" s="16" t="n">
        <v>181</v>
      </c>
      <c r="B185" s="4" t="n"/>
      <c r="C185" s="4" t="n"/>
      <c r="D185" s="4" t="n"/>
      <c r="E185" s="4" t="n"/>
      <c r="F185" s="4" t="n"/>
      <c r="G185" s="4" t="n"/>
      <c r="H185" s="35">
        <f>IF(OR(E185="",F185="",G185=""),"",E185&amp;"|"&amp;F185&amp;"|"&amp;G185)</f>
        <v/>
      </c>
      <c r="I185" s="36">
        <f>IFERROR(INDEX('8. Base UE (source TCD)'!$J$4:$J$326,MATCH(H185,'8. Base UE (source TCD)'!$L$4:$L$326,0)),"")</f>
        <v/>
      </c>
      <c r="J185" s="16" t="n"/>
      <c r="K185" s="16" t="n"/>
      <c r="L185" s="36">
        <f>IF(COUNT(J185:K185)=0,"",ROUND(J185*$F$2+K185*$I$2,2))</f>
        <v/>
      </c>
      <c r="M185" s="36">
        <f>IF(L185="","",L185*I185)</f>
        <v/>
      </c>
    </row>
    <row r="186">
      <c r="A186" s="16" t="n">
        <v>182</v>
      </c>
      <c r="B186" s="18" t="n"/>
      <c r="C186" s="18" t="n"/>
      <c r="D186" s="18" t="n"/>
      <c r="E186" s="18" t="n"/>
      <c r="F186" s="18" t="n"/>
      <c r="G186" s="18" t="n"/>
      <c r="H186" s="35">
        <f>IF(OR(E186="",F186="",G186=""),"",E186&amp;"|"&amp;F186&amp;"|"&amp;G186)</f>
        <v/>
      </c>
      <c r="I186" s="36">
        <f>IFERROR(INDEX('8. Base UE (source TCD)'!$J$4:$J$326,MATCH(H186,'8. Base UE (source TCD)'!$L$4:$L$326,0)),"")</f>
        <v/>
      </c>
      <c r="J186" s="17" t="n"/>
      <c r="K186" s="17" t="n"/>
      <c r="L186" s="36">
        <f>IF(COUNT(J186:K186)=0,"",ROUND(J186*$F$2+K186*$I$2,2))</f>
        <v/>
      </c>
      <c r="M186" s="36">
        <f>IF(L186="","",L186*I186)</f>
        <v/>
      </c>
    </row>
    <row r="187">
      <c r="A187" s="16" t="n">
        <v>183</v>
      </c>
      <c r="B187" s="4" t="n"/>
      <c r="C187" s="4" t="n"/>
      <c r="D187" s="4" t="n"/>
      <c r="E187" s="4" t="n"/>
      <c r="F187" s="4" t="n"/>
      <c r="G187" s="4" t="n"/>
      <c r="H187" s="35">
        <f>IF(OR(E187="",F187="",G187=""),"",E187&amp;"|"&amp;F187&amp;"|"&amp;G187)</f>
        <v/>
      </c>
      <c r="I187" s="36">
        <f>IFERROR(INDEX('8. Base UE (source TCD)'!$J$4:$J$326,MATCH(H187,'8. Base UE (source TCD)'!$L$4:$L$326,0)),"")</f>
        <v/>
      </c>
      <c r="J187" s="16" t="n"/>
      <c r="K187" s="16" t="n"/>
      <c r="L187" s="36">
        <f>IF(COUNT(J187:K187)=0,"",ROUND(J187*$F$2+K187*$I$2,2))</f>
        <v/>
      </c>
      <c r="M187" s="36">
        <f>IF(L187="","",L187*I187)</f>
        <v/>
      </c>
    </row>
    <row r="188">
      <c r="A188" s="16" t="n">
        <v>184</v>
      </c>
      <c r="B188" s="18" t="n"/>
      <c r="C188" s="18" t="n"/>
      <c r="D188" s="18" t="n"/>
      <c r="E188" s="18" t="n"/>
      <c r="F188" s="18" t="n"/>
      <c r="G188" s="18" t="n"/>
      <c r="H188" s="35">
        <f>IF(OR(E188="",F188="",G188=""),"",E188&amp;"|"&amp;F188&amp;"|"&amp;G188)</f>
        <v/>
      </c>
      <c r="I188" s="36">
        <f>IFERROR(INDEX('8. Base UE (source TCD)'!$J$4:$J$326,MATCH(H188,'8. Base UE (source TCD)'!$L$4:$L$326,0)),"")</f>
        <v/>
      </c>
      <c r="J188" s="17" t="n"/>
      <c r="K188" s="17" t="n"/>
      <c r="L188" s="36">
        <f>IF(COUNT(J188:K188)=0,"",ROUND(J188*$F$2+K188*$I$2,2))</f>
        <v/>
      </c>
      <c r="M188" s="36">
        <f>IF(L188="","",L188*I188)</f>
        <v/>
      </c>
    </row>
    <row r="189">
      <c r="A189" s="16" t="n">
        <v>185</v>
      </c>
      <c r="B189" s="4" t="n"/>
      <c r="C189" s="4" t="n"/>
      <c r="D189" s="4" t="n"/>
      <c r="E189" s="4" t="n"/>
      <c r="F189" s="4" t="n"/>
      <c r="G189" s="4" t="n"/>
      <c r="H189" s="35">
        <f>IF(OR(E189="",F189="",G189=""),"",E189&amp;"|"&amp;F189&amp;"|"&amp;G189)</f>
        <v/>
      </c>
      <c r="I189" s="36">
        <f>IFERROR(INDEX('8. Base UE (source TCD)'!$J$4:$J$326,MATCH(H189,'8. Base UE (source TCD)'!$L$4:$L$326,0)),"")</f>
        <v/>
      </c>
      <c r="J189" s="16" t="n"/>
      <c r="K189" s="16" t="n"/>
      <c r="L189" s="36">
        <f>IF(COUNT(J189:K189)=0,"",ROUND(J189*$F$2+K189*$I$2,2))</f>
        <v/>
      </c>
      <c r="M189" s="36">
        <f>IF(L189="","",L189*I189)</f>
        <v/>
      </c>
    </row>
    <row r="190">
      <c r="A190" s="16" t="n">
        <v>186</v>
      </c>
      <c r="B190" s="18" t="n"/>
      <c r="C190" s="18" t="n"/>
      <c r="D190" s="18" t="n"/>
      <c r="E190" s="18" t="n"/>
      <c r="F190" s="18" t="n"/>
      <c r="G190" s="18" t="n"/>
      <c r="H190" s="35">
        <f>IF(OR(E190="",F190="",G190=""),"",E190&amp;"|"&amp;F190&amp;"|"&amp;G190)</f>
        <v/>
      </c>
      <c r="I190" s="36">
        <f>IFERROR(INDEX('8. Base UE (source TCD)'!$J$4:$J$326,MATCH(H190,'8. Base UE (source TCD)'!$L$4:$L$326,0)),"")</f>
        <v/>
      </c>
      <c r="J190" s="17" t="n"/>
      <c r="K190" s="17" t="n"/>
      <c r="L190" s="36">
        <f>IF(COUNT(J190:K190)=0,"",ROUND(J190*$F$2+K190*$I$2,2))</f>
        <v/>
      </c>
      <c r="M190" s="36">
        <f>IF(L190="","",L190*I190)</f>
        <v/>
      </c>
    </row>
    <row r="191">
      <c r="A191" s="16" t="n">
        <v>187</v>
      </c>
      <c r="B191" s="4" t="n"/>
      <c r="C191" s="4" t="n"/>
      <c r="D191" s="4" t="n"/>
      <c r="E191" s="4" t="n"/>
      <c r="F191" s="4" t="n"/>
      <c r="G191" s="4" t="n"/>
      <c r="H191" s="35">
        <f>IF(OR(E191="",F191="",G191=""),"",E191&amp;"|"&amp;F191&amp;"|"&amp;G191)</f>
        <v/>
      </c>
      <c r="I191" s="36">
        <f>IFERROR(INDEX('8. Base UE (source TCD)'!$J$4:$J$326,MATCH(H191,'8. Base UE (source TCD)'!$L$4:$L$326,0)),"")</f>
        <v/>
      </c>
      <c r="J191" s="16" t="n"/>
      <c r="K191" s="16" t="n"/>
      <c r="L191" s="36">
        <f>IF(COUNT(J191:K191)=0,"",ROUND(J191*$F$2+K191*$I$2,2))</f>
        <v/>
      </c>
      <c r="M191" s="36">
        <f>IF(L191="","",L191*I191)</f>
        <v/>
      </c>
    </row>
    <row r="192">
      <c r="A192" s="16" t="n">
        <v>188</v>
      </c>
      <c r="B192" s="18" t="n"/>
      <c r="C192" s="18" t="n"/>
      <c r="D192" s="18" t="n"/>
      <c r="E192" s="18" t="n"/>
      <c r="F192" s="18" t="n"/>
      <c r="G192" s="18" t="n"/>
      <c r="H192" s="35">
        <f>IF(OR(E192="",F192="",G192=""),"",E192&amp;"|"&amp;F192&amp;"|"&amp;G192)</f>
        <v/>
      </c>
      <c r="I192" s="36">
        <f>IFERROR(INDEX('8. Base UE (source TCD)'!$J$4:$J$326,MATCH(H192,'8. Base UE (source TCD)'!$L$4:$L$326,0)),"")</f>
        <v/>
      </c>
      <c r="J192" s="17" t="n"/>
      <c r="K192" s="17" t="n"/>
      <c r="L192" s="36">
        <f>IF(COUNT(J192:K192)=0,"",ROUND(J192*$F$2+K192*$I$2,2))</f>
        <v/>
      </c>
      <c r="M192" s="36">
        <f>IF(L192="","",L192*I192)</f>
        <v/>
      </c>
    </row>
    <row r="193">
      <c r="A193" s="16" t="n">
        <v>189</v>
      </c>
      <c r="B193" s="4" t="n"/>
      <c r="C193" s="4" t="n"/>
      <c r="D193" s="4" t="n"/>
      <c r="E193" s="4" t="n"/>
      <c r="F193" s="4" t="n"/>
      <c r="G193" s="4" t="n"/>
      <c r="H193" s="35">
        <f>IF(OR(E193="",F193="",G193=""),"",E193&amp;"|"&amp;F193&amp;"|"&amp;G193)</f>
        <v/>
      </c>
      <c r="I193" s="36">
        <f>IFERROR(INDEX('8. Base UE (source TCD)'!$J$4:$J$326,MATCH(H193,'8. Base UE (source TCD)'!$L$4:$L$326,0)),"")</f>
        <v/>
      </c>
      <c r="J193" s="16" t="n"/>
      <c r="K193" s="16" t="n"/>
      <c r="L193" s="36">
        <f>IF(COUNT(J193:K193)=0,"",ROUND(J193*$F$2+K193*$I$2,2))</f>
        <v/>
      </c>
      <c r="M193" s="36">
        <f>IF(L193="","",L193*I193)</f>
        <v/>
      </c>
    </row>
    <row r="194">
      <c r="A194" s="16" t="n">
        <v>190</v>
      </c>
      <c r="B194" s="18" t="n"/>
      <c r="C194" s="18" t="n"/>
      <c r="D194" s="18" t="n"/>
      <c r="E194" s="18" t="n"/>
      <c r="F194" s="18" t="n"/>
      <c r="G194" s="18" t="n"/>
      <c r="H194" s="35">
        <f>IF(OR(E194="",F194="",G194=""),"",E194&amp;"|"&amp;F194&amp;"|"&amp;G194)</f>
        <v/>
      </c>
      <c r="I194" s="36">
        <f>IFERROR(INDEX('8. Base UE (source TCD)'!$J$4:$J$326,MATCH(H194,'8. Base UE (source TCD)'!$L$4:$L$326,0)),"")</f>
        <v/>
      </c>
      <c r="J194" s="17" t="n"/>
      <c r="K194" s="17" t="n"/>
      <c r="L194" s="36">
        <f>IF(COUNT(J194:K194)=0,"",ROUND(J194*$F$2+K194*$I$2,2))</f>
        <v/>
      </c>
      <c r="M194" s="36">
        <f>IF(L194="","",L194*I194)</f>
        <v/>
      </c>
    </row>
    <row r="195">
      <c r="A195" s="16" t="n">
        <v>191</v>
      </c>
      <c r="B195" s="4" t="n"/>
      <c r="C195" s="4" t="n"/>
      <c r="D195" s="4" t="n"/>
      <c r="E195" s="4" t="n"/>
      <c r="F195" s="4" t="n"/>
      <c r="G195" s="4" t="n"/>
      <c r="H195" s="35">
        <f>IF(OR(E195="",F195="",G195=""),"",E195&amp;"|"&amp;F195&amp;"|"&amp;G195)</f>
        <v/>
      </c>
      <c r="I195" s="36">
        <f>IFERROR(INDEX('8. Base UE (source TCD)'!$J$4:$J$326,MATCH(H195,'8. Base UE (source TCD)'!$L$4:$L$326,0)),"")</f>
        <v/>
      </c>
      <c r="J195" s="16" t="n"/>
      <c r="K195" s="16" t="n"/>
      <c r="L195" s="36">
        <f>IF(COUNT(J195:K195)=0,"",ROUND(J195*$F$2+K195*$I$2,2))</f>
        <v/>
      </c>
      <c r="M195" s="36">
        <f>IF(L195="","",L195*I195)</f>
        <v/>
      </c>
    </row>
    <row r="196">
      <c r="A196" s="16" t="n">
        <v>192</v>
      </c>
      <c r="B196" s="18" t="n"/>
      <c r="C196" s="18" t="n"/>
      <c r="D196" s="18" t="n"/>
      <c r="E196" s="18" t="n"/>
      <c r="F196" s="18" t="n"/>
      <c r="G196" s="18" t="n"/>
      <c r="H196" s="35">
        <f>IF(OR(E196="",F196="",G196=""),"",E196&amp;"|"&amp;F196&amp;"|"&amp;G196)</f>
        <v/>
      </c>
      <c r="I196" s="36">
        <f>IFERROR(INDEX('8. Base UE (source TCD)'!$J$4:$J$326,MATCH(H196,'8. Base UE (source TCD)'!$L$4:$L$326,0)),"")</f>
        <v/>
      </c>
      <c r="J196" s="17" t="n"/>
      <c r="K196" s="17" t="n"/>
      <c r="L196" s="36">
        <f>IF(COUNT(J196:K196)=0,"",ROUND(J196*$F$2+K196*$I$2,2))</f>
        <v/>
      </c>
      <c r="M196" s="36">
        <f>IF(L196="","",L196*I196)</f>
        <v/>
      </c>
    </row>
    <row r="197">
      <c r="A197" s="16" t="n">
        <v>193</v>
      </c>
      <c r="B197" s="4" t="n"/>
      <c r="C197" s="4" t="n"/>
      <c r="D197" s="4" t="n"/>
      <c r="E197" s="4" t="n"/>
      <c r="F197" s="4" t="n"/>
      <c r="G197" s="4" t="n"/>
      <c r="H197" s="35">
        <f>IF(OR(E197="",F197="",G197=""),"",E197&amp;"|"&amp;F197&amp;"|"&amp;G197)</f>
        <v/>
      </c>
      <c r="I197" s="36">
        <f>IFERROR(INDEX('8. Base UE (source TCD)'!$J$4:$J$326,MATCH(H197,'8. Base UE (source TCD)'!$L$4:$L$326,0)),"")</f>
        <v/>
      </c>
      <c r="J197" s="16" t="n"/>
      <c r="K197" s="16" t="n"/>
      <c r="L197" s="36">
        <f>IF(COUNT(J197:K197)=0,"",ROUND(J197*$F$2+K197*$I$2,2))</f>
        <v/>
      </c>
      <c r="M197" s="36">
        <f>IF(L197="","",L197*I197)</f>
        <v/>
      </c>
    </row>
    <row r="198">
      <c r="A198" s="16" t="n">
        <v>194</v>
      </c>
      <c r="B198" s="18" t="n"/>
      <c r="C198" s="18" t="n"/>
      <c r="D198" s="18" t="n"/>
      <c r="E198" s="18" t="n"/>
      <c r="F198" s="18" t="n"/>
      <c r="G198" s="18" t="n"/>
      <c r="H198" s="35">
        <f>IF(OR(E198="",F198="",G198=""),"",E198&amp;"|"&amp;F198&amp;"|"&amp;G198)</f>
        <v/>
      </c>
      <c r="I198" s="36">
        <f>IFERROR(INDEX('8. Base UE (source TCD)'!$J$4:$J$326,MATCH(H198,'8. Base UE (source TCD)'!$L$4:$L$326,0)),"")</f>
        <v/>
      </c>
      <c r="J198" s="17" t="n"/>
      <c r="K198" s="17" t="n"/>
      <c r="L198" s="36">
        <f>IF(COUNT(J198:K198)=0,"",ROUND(J198*$F$2+K198*$I$2,2))</f>
        <v/>
      </c>
      <c r="M198" s="36">
        <f>IF(L198="","",L198*I198)</f>
        <v/>
      </c>
    </row>
    <row r="199">
      <c r="A199" s="16" t="n">
        <v>195</v>
      </c>
      <c r="B199" s="4" t="n"/>
      <c r="C199" s="4" t="n"/>
      <c r="D199" s="4" t="n"/>
      <c r="E199" s="4" t="n"/>
      <c r="F199" s="4" t="n"/>
      <c r="G199" s="4" t="n"/>
      <c r="H199" s="35">
        <f>IF(OR(E199="",F199="",G199=""),"",E199&amp;"|"&amp;F199&amp;"|"&amp;G199)</f>
        <v/>
      </c>
      <c r="I199" s="36">
        <f>IFERROR(INDEX('8. Base UE (source TCD)'!$J$4:$J$326,MATCH(H199,'8. Base UE (source TCD)'!$L$4:$L$326,0)),"")</f>
        <v/>
      </c>
      <c r="J199" s="16" t="n"/>
      <c r="K199" s="16" t="n"/>
      <c r="L199" s="36">
        <f>IF(COUNT(J199:K199)=0,"",ROUND(J199*$F$2+K199*$I$2,2))</f>
        <v/>
      </c>
      <c r="M199" s="36">
        <f>IF(L199="","",L199*I199)</f>
        <v/>
      </c>
    </row>
    <row r="200">
      <c r="A200" s="16" t="n">
        <v>196</v>
      </c>
      <c r="B200" s="18" t="n"/>
      <c r="C200" s="18" t="n"/>
      <c r="D200" s="18" t="n"/>
      <c r="E200" s="18" t="n"/>
      <c r="F200" s="18" t="n"/>
      <c r="G200" s="18" t="n"/>
      <c r="H200" s="35">
        <f>IF(OR(E200="",F200="",G200=""),"",E200&amp;"|"&amp;F200&amp;"|"&amp;G200)</f>
        <v/>
      </c>
      <c r="I200" s="36">
        <f>IFERROR(INDEX('8. Base UE (source TCD)'!$J$4:$J$326,MATCH(H200,'8. Base UE (source TCD)'!$L$4:$L$326,0)),"")</f>
        <v/>
      </c>
      <c r="J200" s="17" t="n"/>
      <c r="K200" s="17" t="n"/>
      <c r="L200" s="36">
        <f>IF(COUNT(J200:K200)=0,"",ROUND(J200*$F$2+K200*$I$2,2))</f>
        <v/>
      </c>
      <c r="M200" s="36">
        <f>IF(L200="","",L200*I200)</f>
        <v/>
      </c>
    </row>
    <row r="201">
      <c r="A201" s="16" t="n">
        <v>197</v>
      </c>
      <c r="B201" s="4" t="n"/>
      <c r="C201" s="4" t="n"/>
      <c r="D201" s="4" t="n"/>
      <c r="E201" s="4" t="n"/>
      <c r="F201" s="4" t="n"/>
      <c r="G201" s="4" t="n"/>
      <c r="H201" s="35">
        <f>IF(OR(E201="",F201="",G201=""),"",E201&amp;"|"&amp;F201&amp;"|"&amp;G201)</f>
        <v/>
      </c>
      <c r="I201" s="36">
        <f>IFERROR(INDEX('8. Base UE (source TCD)'!$J$4:$J$326,MATCH(H201,'8. Base UE (source TCD)'!$L$4:$L$326,0)),"")</f>
        <v/>
      </c>
      <c r="J201" s="16" t="n"/>
      <c r="K201" s="16" t="n"/>
      <c r="L201" s="36">
        <f>IF(COUNT(J201:K201)=0,"",ROUND(J201*$F$2+K201*$I$2,2))</f>
        <v/>
      </c>
      <c r="M201" s="36">
        <f>IF(L201="","",L201*I201)</f>
        <v/>
      </c>
    </row>
    <row r="202">
      <c r="A202" s="16" t="n">
        <v>198</v>
      </c>
      <c r="B202" s="18" t="n"/>
      <c r="C202" s="18" t="n"/>
      <c r="D202" s="18" t="n"/>
      <c r="E202" s="18" t="n"/>
      <c r="F202" s="18" t="n"/>
      <c r="G202" s="18" t="n"/>
      <c r="H202" s="35">
        <f>IF(OR(E202="",F202="",G202=""),"",E202&amp;"|"&amp;F202&amp;"|"&amp;G202)</f>
        <v/>
      </c>
      <c r="I202" s="36">
        <f>IFERROR(INDEX('8. Base UE (source TCD)'!$J$4:$J$326,MATCH(H202,'8. Base UE (source TCD)'!$L$4:$L$326,0)),"")</f>
        <v/>
      </c>
      <c r="J202" s="17" t="n"/>
      <c r="K202" s="17" t="n"/>
      <c r="L202" s="36">
        <f>IF(COUNT(J202:K202)=0,"",ROUND(J202*$F$2+K202*$I$2,2))</f>
        <v/>
      </c>
      <c r="M202" s="36">
        <f>IF(L202="","",L202*I202)</f>
        <v/>
      </c>
    </row>
    <row r="203">
      <c r="A203" s="16" t="n">
        <v>199</v>
      </c>
      <c r="B203" s="4" t="n"/>
      <c r="C203" s="4" t="n"/>
      <c r="D203" s="4" t="n"/>
      <c r="E203" s="4" t="n"/>
      <c r="F203" s="4" t="n"/>
      <c r="G203" s="4" t="n"/>
      <c r="H203" s="35">
        <f>IF(OR(E203="",F203="",G203=""),"",E203&amp;"|"&amp;F203&amp;"|"&amp;G203)</f>
        <v/>
      </c>
      <c r="I203" s="36">
        <f>IFERROR(INDEX('8. Base UE (source TCD)'!$J$4:$J$326,MATCH(H203,'8. Base UE (source TCD)'!$L$4:$L$326,0)),"")</f>
        <v/>
      </c>
      <c r="J203" s="16" t="n"/>
      <c r="K203" s="16" t="n"/>
      <c r="L203" s="36">
        <f>IF(COUNT(J203:K203)=0,"",ROUND(J203*$F$2+K203*$I$2,2))</f>
        <v/>
      </c>
      <c r="M203" s="36">
        <f>IF(L203="","",L203*I203)</f>
        <v/>
      </c>
    </row>
    <row r="204">
      <c r="A204" s="16" t="n">
        <v>200</v>
      </c>
      <c r="B204" s="18" t="n"/>
      <c r="C204" s="18" t="n"/>
      <c r="D204" s="18" t="n"/>
      <c r="E204" s="18" t="n"/>
      <c r="F204" s="18" t="n"/>
      <c r="G204" s="18" t="n"/>
      <c r="H204" s="35">
        <f>IF(OR(E204="",F204="",G204=""),"",E204&amp;"|"&amp;F204&amp;"|"&amp;G204)</f>
        <v/>
      </c>
      <c r="I204" s="36">
        <f>IFERROR(INDEX('8. Base UE (source TCD)'!$J$4:$J$326,MATCH(H204,'8. Base UE (source TCD)'!$L$4:$L$326,0)),"")</f>
        <v/>
      </c>
      <c r="J204" s="17" t="n"/>
      <c r="K204" s="17" t="n"/>
      <c r="L204" s="36">
        <f>IF(COUNT(J204:K204)=0,"",ROUND(J204*$F$2+K204*$I$2,2))</f>
        <v/>
      </c>
      <c r="M204" s="36">
        <f>IF(L204="","",L204*I204)</f>
        <v/>
      </c>
    </row>
    <row r="205">
      <c r="A205" s="16" t="n">
        <v>201</v>
      </c>
      <c r="B205" s="4" t="n"/>
      <c r="C205" s="4" t="n"/>
      <c r="D205" s="4" t="n"/>
      <c r="E205" s="4" t="n"/>
      <c r="F205" s="4" t="n"/>
      <c r="G205" s="4" t="n"/>
      <c r="H205" s="35">
        <f>IF(OR(E205="",F205="",G205=""),"",E205&amp;"|"&amp;F205&amp;"|"&amp;G205)</f>
        <v/>
      </c>
      <c r="I205" s="36">
        <f>IFERROR(INDEX('8. Base UE (source TCD)'!$J$4:$J$326,MATCH(H205,'8. Base UE (source TCD)'!$L$4:$L$326,0)),"")</f>
        <v/>
      </c>
      <c r="J205" s="16" t="n"/>
      <c r="K205" s="16" t="n"/>
      <c r="L205" s="36">
        <f>IF(COUNT(J205:K205)=0,"",ROUND(J205*$F$2+K205*$I$2,2))</f>
        <v/>
      </c>
      <c r="M205" s="36">
        <f>IF(L205="","",L205*I205)</f>
        <v/>
      </c>
    </row>
    <row r="206">
      <c r="A206" s="16" t="n">
        <v>202</v>
      </c>
      <c r="B206" s="18" t="n"/>
      <c r="C206" s="18" t="n"/>
      <c r="D206" s="18" t="n"/>
      <c r="E206" s="18" t="n"/>
      <c r="F206" s="18" t="n"/>
      <c r="G206" s="18" t="n"/>
      <c r="H206" s="35">
        <f>IF(OR(E206="",F206="",G206=""),"",E206&amp;"|"&amp;F206&amp;"|"&amp;G206)</f>
        <v/>
      </c>
      <c r="I206" s="36">
        <f>IFERROR(INDEX('8. Base UE (source TCD)'!$J$4:$J$326,MATCH(H206,'8. Base UE (source TCD)'!$L$4:$L$326,0)),"")</f>
        <v/>
      </c>
      <c r="J206" s="17" t="n"/>
      <c r="K206" s="17" t="n"/>
      <c r="L206" s="36">
        <f>IF(COUNT(J206:K206)=0,"",ROUND(J206*$F$2+K206*$I$2,2))</f>
        <v/>
      </c>
      <c r="M206" s="36">
        <f>IF(L206="","",L206*I206)</f>
        <v/>
      </c>
    </row>
    <row r="207">
      <c r="A207" s="16" t="n">
        <v>203</v>
      </c>
      <c r="B207" s="4" t="n"/>
      <c r="C207" s="4" t="n"/>
      <c r="D207" s="4" t="n"/>
      <c r="E207" s="4" t="n"/>
      <c r="F207" s="4" t="n"/>
      <c r="G207" s="4" t="n"/>
      <c r="H207" s="35">
        <f>IF(OR(E207="",F207="",G207=""),"",E207&amp;"|"&amp;F207&amp;"|"&amp;G207)</f>
        <v/>
      </c>
      <c r="I207" s="36">
        <f>IFERROR(INDEX('8. Base UE (source TCD)'!$J$4:$J$326,MATCH(H207,'8. Base UE (source TCD)'!$L$4:$L$326,0)),"")</f>
        <v/>
      </c>
      <c r="J207" s="16" t="n"/>
      <c r="K207" s="16" t="n"/>
      <c r="L207" s="36">
        <f>IF(COUNT(J207:K207)=0,"",ROUND(J207*$F$2+K207*$I$2,2))</f>
        <v/>
      </c>
      <c r="M207" s="36">
        <f>IF(L207="","",L207*I207)</f>
        <v/>
      </c>
    </row>
    <row r="208">
      <c r="A208" s="16" t="n">
        <v>204</v>
      </c>
      <c r="B208" s="18" t="n"/>
      <c r="C208" s="18" t="n"/>
      <c r="D208" s="18" t="n"/>
      <c r="E208" s="18" t="n"/>
      <c r="F208" s="18" t="n"/>
      <c r="G208" s="18" t="n"/>
      <c r="H208" s="35">
        <f>IF(OR(E208="",F208="",G208=""),"",E208&amp;"|"&amp;F208&amp;"|"&amp;G208)</f>
        <v/>
      </c>
      <c r="I208" s="36">
        <f>IFERROR(INDEX('8. Base UE (source TCD)'!$J$4:$J$326,MATCH(H208,'8. Base UE (source TCD)'!$L$4:$L$326,0)),"")</f>
        <v/>
      </c>
      <c r="J208" s="17" t="n"/>
      <c r="K208" s="17" t="n"/>
      <c r="L208" s="36">
        <f>IF(COUNT(J208:K208)=0,"",ROUND(J208*$F$2+K208*$I$2,2))</f>
        <v/>
      </c>
      <c r="M208" s="36">
        <f>IF(L208="","",L208*I208)</f>
        <v/>
      </c>
    </row>
    <row r="209">
      <c r="A209" s="16" t="n">
        <v>205</v>
      </c>
      <c r="B209" s="4" t="n"/>
      <c r="C209" s="4" t="n"/>
      <c r="D209" s="4" t="n"/>
      <c r="E209" s="4" t="n"/>
      <c r="F209" s="4" t="n"/>
      <c r="G209" s="4" t="n"/>
      <c r="H209" s="35">
        <f>IF(OR(E209="",F209="",G209=""),"",E209&amp;"|"&amp;F209&amp;"|"&amp;G209)</f>
        <v/>
      </c>
      <c r="I209" s="36">
        <f>IFERROR(INDEX('8. Base UE (source TCD)'!$J$4:$J$326,MATCH(H209,'8. Base UE (source TCD)'!$L$4:$L$326,0)),"")</f>
        <v/>
      </c>
      <c r="J209" s="16" t="n"/>
      <c r="K209" s="16" t="n"/>
      <c r="L209" s="36">
        <f>IF(COUNT(J209:K209)=0,"",ROUND(J209*$F$2+K209*$I$2,2))</f>
        <v/>
      </c>
      <c r="M209" s="36">
        <f>IF(L209="","",L209*I209)</f>
        <v/>
      </c>
    </row>
    <row r="210">
      <c r="A210" s="16" t="n">
        <v>206</v>
      </c>
      <c r="B210" s="18" t="n"/>
      <c r="C210" s="18" t="n"/>
      <c r="D210" s="18" t="n"/>
      <c r="E210" s="18" t="n"/>
      <c r="F210" s="18" t="n"/>
      <c r="G210" s="18" t="n"/>
      <c r="H210" s="35">
        <f>IF(OR(E210="",F210="",G210=""),"",E210&amp;"|"&amp;F210&amp;"|"&amp;G210)</f>
        <v/>
      </c>
      <c r="I210" s="36">
        <f>IFERROR(INDEX('8. Base UE (source TCD)'!$J$4:$J$326,MATCH(H210,'8. Base UE (source TCD)'!$L$4:$L$326,0)),"")</f>
        <v/>
      </c>
      <c r="J210" s="17" t="n"/>
      <c r="K210" s="17" t="n"/>
      <c r="L210" s="36">
        <f>IF(COUNT(J210:K210)=0,"",ROUND(J210*$F$2+K210*$I$2,2))</f>
        <v/>
      </c>
      <c r="M210" s="36">
        <f>IF(L210="","",L210*I210)</f>
        <v/>
      </c>
    </row>
    <row r="211">
      <c r="A211" s="16" t="n">
        <v>207</v>
      </c>
      <c r="B211" s="4" t="n"/>
      <c r="C211" s="4" t="n"/>
      <c r="D211" s="4" t="n"/>
      <c r="E211" s="4" t="n"/>
      <c r="F211" s="4" t="n"/>
      <c r="G211" s="4" t="n"/>
      <c r="H211" s="35">
        <f>IF(OR(E211="",F211="",G211=""),"",E211&amp;"|"&amp;F211&amp;"|"&amp;G211)</f>
        <v/>
      </c>
      <c r="I211" s="36">
        <f>IFERROR(INDEX('8. Base UE (source TCD)'!$J$4:$J$326,MATCH(H211,'8. Base UE (source TCD)'!$L$4:$L$326,0)),"")</f>
        <v/>
      </c>
      <c r="J211" s="16" t="n"/>
      <c r="K211" s="16" t="n"/>
      <c r="L211" s="36">
        <f>IF(COUNT(J211:K211)=0,"",ROUND(J211*$F$2+K211*$I$2,2))</f>
        <v/>
      </c>
      <c r="M211" s="36">
        <f>IF(L211="","",L211*I211)</f>
        <v/>
      </c>
    </row>
    <row r="212">
      <c r="A212" s="16" t="n">
        <v>208</v>
      </c>
      <c r="B212" s="18" t="n"/>
      <c r="C212" s="18" t="n"/>
      <c r="D212" s="18" t="n"/>
      <c r="E212" s="18" t="n"/>
      <c r="F212" s="18" t="n"/>
      <c r="G212" s="18" t="n"/>
      <c r="H212" s="35">
        <f>IF(OR(E212="",F212="",G212=""),"",E212&amp;"|"&amp;F212&amp;"|"&amp;G212)</f>
        <v/>
      </c>
      <c r="I212" s="36">
        <f>IFERROR(INDEX('8. Base UE (source TCD)'!$J$4:$J$326,MATCH(H212,'8. Base UE (source TCD)'!$L$4:$L$326,0)),"")</f>
        <v/>
      </c>
      <c r="J212" s="17" t="n"/>
      <c r="K212" s="17" t="n"/>
      <c r="L212" s="36">
        <f>IF(COUNT(J212:K212)=0,"",ROUND(J212*$F$2+K212*$I$2,2))</f>
        <v/>
      </c>
      <c r="M212" s="36">
        <f>IF(L212="","",L212*I212)</f>
        <v/>
      </c>
    </row>
    <row r="213">
      <c r="A213" s="16" t="n">
        <v>209</v>
      </c>
      <c r="B213" s="4" t="n"/>
      <c r="C213" s="4" t="n"/>
      <c r="D213" s="4" t="n"/>
      <c r="E213" s="4" t="n"/>
      <c r="F213" s="4" t="n"/>
      <c r="G213" s="4" t="n"/>
      <c r="H213" s="35">
        <f>IF(OR(E213="",F213="",G213=""),"",E213&amp;"|"&amp;F213&amp;"|"&amp;G213)</f>
        <v/>
      </c>
      <c r="I213" s="36">
        <f>IFERROR(INDEX('8. Base UE (source TCD)'!$J$4:$J$326,MATCH(H213,'8. Base UE (source TCD)'!$L$4:$L$326,0)),"")</f>
        <v/>
      </c>
      <c r="J213" s="16" t="n"/>
      <c r="K213" s="16" t="n"/>
      <c r="L213" s="36">
        <f>IF(COUNT(J213:K213)=0,"",ROUND(J213*$F$2+K213*$I$2,2))</f>
        <v/>
      </c>
      <c r="M213" s="36">
        <f>IF(L213="","",L213*I213)</f>
        <v/>
      </c>
    </row>
    <row r="214">
      <c r="A214" s="16" t="n">
        <v>210</v>
      </c>
      <c r="B214" s="18" t="n"/>
      <c r="C214" s="18" t="n"/>
      <c r="D214" s="18" t="n"/>
      <c r="E214" s="18" t="n"/>
      <c r="F214" s="18" t="n"/>
      <c r="G214" s="18" t="n"/>
      <c r="H214" s="35">
        <f>IF(OR(E214="",F214="",G214=""),"",E214&amp;"|"&amp;F214&amp;"|"&amp;G214)</f>
        <v/>
      </c>
      <c r="I214" s="36">
        <f>IFERROR(INDEX('8. Base UE (source TCD)'!$J$4:$J$326,MATCH(H214,'8. Base UE (source TCD)'!$L$4:$L$326,0)),"")</f>
        <v/>
      </c>
      <c r="J214" s="17" t="n"/>
      <c r="K214" s="17" t="n"/>
      <c r="L214" s="36">
        <f>IF(COUNT(J214:K214)=0,"",ROUND(J214*$F$2+K214*$I$2,2))</f>
        <v/>
      </c>
      <c r="M214" s="36">
        <f>IF(L214="","",L214*I214)</f>
        <v/>
      </c>
    </row>
    <row r="215">
      <c r="A215" s="16" t="n">
        <v>211</v>
      </c>
      <c r="B215" s="4" t="n"/>
      <c r="C215" s="4" t="n"/>
      <c r="D215" s="4" t="n"/>
      <c r="E215" s="4" t="n"/>
      <c r="F215" s="4" t="n"/>
      <c r="G215" s="4" t="n"/>
      <c r="H215" s="35">
        <f>IF(OR(E215="",F215="",G215=""),"",E215&amp;"|"&amp;F215&amp;"|"&amp;G215)</f>
        <v/>
      </c>
      <c r="I215" s="36">
        <f>IFERROR(INDEX('8. Base UE (source TCD)'!$J$4:$J$326,MATCH(H215,'8. Base UE (source TCD)'!$L$4:$L$326,0)),"")</f>
        <v/>
      </c>
      <c r="J215" s="16" t="n"/>
      <c r="K215" s="16" t="n"/>
      <c r="L215" s="36">
        <f>IF(COUNT(J215:K215)=0,"",ROUND(J215*$F$2+K215*$I$2,2))</f>
        <v/>
      </c>
      <c r="M215" s="36">
        <f>IF(L215="","",L215*I215)</f>
        <v/>
      </c>
    </row>
    <row r="216">
      <c r="A216" s="16" t="n">
        <v>212</v>
      </c>
      <c r="B216" s="18" t="n"/>
      <c r="C216" s="18" t="n"/>
      <c r="D216" s="18" t="n"/>
      <c r="E216" s="18" t="n"/>
      <c r="F216" s="18" t="n"/>
      <c r="G216" s="18" t="n"/>
      <c r="H216" s="35">
        <f>IF(OR(E216="",F216="",G216=""),"",E216&amp;"|"&amp;F216&amp;"|"&amp;G216)</f>
        <v/>
      </c>
      <c r="I216" s="36">
        <f>IFERROR(INDEX('8. Base UE (source TCD)'!$J$4:$J$326,MATCH(H216,'8. Base UE (source TCD)'!$L$4:$L$326,0)),"")</f>
        <v/>
      </c>
      <c r="J216" s="17" t="n"/>
      <c r="K216" s="17" t="n"/>
      <c r="L216" s="36">
        <f>IF(COUNT(J216:K216)=0,"",ROUND(J216*$F$2+K216*$I$2,2))</f>
        <v/>
      </c>
      <c r="M216" s="36">
        <f>IF(L216="","",L216*I216)</f>
        <v/>
      </c>
    </row>
    <row r="217">
      <c r="A217" s="16" t="n">
        <v>213</v>
      </c>
      <c r="B217" s="4" t="n"/>
      <c r="C217" s="4" t="n"/>
      <c r="D217" s="4" t="n"/>
      <c r="E217" s="4" t="n"/>
      <c r="F217" s="4" t="n"/>
      <c r="G217" s="4" t="n"/>
      <c r="H217" s="35">
        <f>IF(OR(E217="",F217="",G217=""),"",E217&amp;"|"&amp;F217&amp;"|"&amp;G217)</f>
        <v/>
      </c>
      <c r="I217" s="36">
        <f>IFERROR(INDEX('8. Base UE (source TCD)'!$J$4:$J$326,MATCH(H217,'8. Base UE (source TCD)'!$L$4:$L$326,0)),"")</f>
        <v/>
      </c>
      <c r="J217" s="16" t="n"/>
      <c r="K217" s="16" t="n"/>
      <c r="L217" s="36">
        <f>IF(COUNT(J217:K217)=0,"",ROUND(J217*$F$2+K217*$I$2,2))</f>
        <v/>
      </c>
      <c r="M217" s="36">
        <f>IF(L217="","",L217*I217)</f>
        <v/>
      </c>
    </row>
    <row r="218">
      <c r="A218" s="16" t="n">
        <v>214</v>
      </c>
      <c r="B218" s="18" t="n"/>
      <c r="C218" s="18" t="n"/>
      <c r="D218" s="18" t="n"/>
      <c r="E218" s="18" t="n"/>
      <c r="F218" s="18" t="n"/>
      <c r="G218" s="18" t="n"/>
      <c r="H218" s="35">
        <f>IF(OR(E218="",F218="",G218=""),"",E218&amp;"|"&amp;F218&amp;"|"&amp;G218)</f>
        <v/>
      </c>
      <c r="I218" s="36">
        <f>IFERROR(INDEX('8. Base UE (source TCD)'!$J$4:$J$326,MATCH(H218,'8. Base UE (source TCD)'!$L$4:$L$326,0)),"")</f>
        <v/>
      </c>
      <c r="J218" s="17" t="n"/>
      <c r="K218" s="17" t="n"/>
      <c r="L218" s="36">
        <f>IF(COUNT(J218:K218)=0,"",ROUND(J218*$F$2+K218*$I$2,2))</f>
        <v/>
      </c>
      <c r="M218" s="36">
        <f>IF(L218="","",L218*I218)</f>
        <v/>
      </c>
    </row>
    <row r="219">
      <c r="A219" s="16" t="n">
        <v>215</v>
      </c>
      <c r="B219" s="4" t="n"/>
      <c r="C219" s="4" t="n"/>
      <c r="D219" s="4" t="n"/>
      <c r="E219" s="4" t="n"/>
      <c r="F219" s="4" t="n"/>
      <c r="G219" s="4" t="n"/>
      <c r="H219" s="35">
        <f>IF(OR(E219="",F219="",G219=""),"",E219&amp;"|"&amp;F219&amp;"|"&amp;G219)</f>
        <v/>
      </c>
      <c r="I219" s="36">
        <f>IFERROR(INDEX('8. Base UE (source TCD)'!$J$4:$J$326,MATCH(H219,'8. Base UE (source TCD)'!$L$4:$L$326,0)),"")</f>
        <v/>
      </c>
      <c r="J219" s="16" t="n"/>
      <c r="K219" s="16" t="n"/>
      <c r="L219" s="36">
        <f>IF(COUNT(J219:K219)=0,"",ROUND(J219*$F$2+K219*$I$2,2))</f>
        <v/>
      </c>
      <c r="M219" s="36">
        <f>IF(L219="","",L219*I219)</f>
        <v/>
      </c>
    </row>
    <row r="220">
      <c r="A220" s="16" t="n">
        <v>216</v>
      </c>
      <c r="B220" s="18" t="n"/>
      <c r="C220" s="18" t="n"/>
      <c r="D220" s="18" t="n"/>
      <c r="E220" s="18" t="n"/>
      <c r="F220" s="18" t="n"/>
      <c r="G220" s="18" t="n"/>
      <c r="H220" s="35">
        <f>IF(OR(E220="",F220="",G220=""),"",E220&amp;"|"&amp;F220&amp;"|"&amp;G220)</f>
        <v/>
      </c>
      <c r="I220" s="36">
        <f>IFERROR(INDEX('8. Base UE (source TCD)'!$J$4:$J$326,MATCH(H220,'8. Base UE (source TCD)'!$L$4:$L$326,0)),"")</f>
        <v/>
      </c>
      <c r="J220" s="17" t="n"/>
      <c r="K220" s="17" t="n"/>
      <c r="L220" s="36">
        <f>IF(COUNT(J220:K220)=0,"",ROUND(J220*$F$2+K220*$I$2,2))</f>
        <v/>
      </c>
      <c r="M220" s="36">
        <f>IF(L220="","",L220*I220)</f>
        <v/>
      </c>
    </row>
    <row r="221">
      <c r="A221" s="16" t="n">
        <v>217</v>
      </c>
      <c r="B221" s="4" t="n"/>
      <c r="C221" s="4" t="n"/>
      <c r="D221" s="4" t="n"/>
      <c r="E221" s="4" t="n"/>
      <c r="F221" s="4" t="n"/>
      <c r="G221" s="4" t="n"/>
      <c r="H221" s="35">
        <f>IF(OR(E221="",F221="",G221=""),"",E221&amp;"|"&amp;F221&amp;"|"&amp;G221)</f>
        <v/>
      </c>
      <c r="I221" s="36">
        <f>IFERROR(INDEX('8. Base UE (source TCD)'!$J$4:$J$326,MATCH(H221,'8. Base UE (source TCD)'!$L$4:$L$326,0)),"")</f>
        <v/>
      </c>
      <c r="J221" s="16" t="n"/>
      <c r="K221" s="16" t="n"/>
      <c r="L221" s="36">
        <f>IF(COUNT(J221:K221)=0,"",ROUND(J221*$F$2+K221*$I$2,2))</f>
        <v/>
      </c>
      <c r="M221" s="36">
        <f>IF(L221="","",L221*I221)</f>
        <v/>
      </c>
    </row>
    <row r="222">
      <c r="A222" s="16" t="n">
        <v>218</v>
      </c>
      <c r="B222" s="18" t="n"/>
      <c r="C222" s="18" t="n"/>
      <c r="D222" s="18" t="n"/>
      <c r="E222" s="18" t="n"/>
      <c r="F222" s="18" t="n"/>
      <c r="G222" s="18" t="n"/>
      <c r="H222" s="35">
        <f>IF(OR(E222="",F222="",G222=""),"",E222&amp;"|"&amp;F222&amp;"|"&amp;G222)</f>
        <v/>
      </c>
      <c r="I222" s="36">
        <f>IFERROR(INDEX('8. Base UE (source TCD)'!$J$4:$J$326,MATCH(H222,'8. Base UE (source TCD)'!$L$4:$L$326,0)),"")</f>
        <v/>
      </c>
      <c r="J222" s="17" t="n"/>
      <c r="K222" s="17" t="n"/>
      <c r="L222" s="36">
        <f>IF(COUNT(J222:K222)=0,"",ROUND(J222*$F$2+K222*$I$2,2))</f>
        <v/>
      </c>
      <c r="M222" s="36">
        <f>IF(L222="","",L222*I222)</f>
        <v/>
      </c>
    </row>
    <row r="223">
      <c r="A223" s="16" t="n">
        <v>219</v>
      </c>
      <c r="B223" s="4" t="n"/>
      <c r="C223" s="4" t="n"/>
      <c r="D223" s="4" t="n"/>
      <c r="E223" s="4" t="n"/>
      <c r="F223" s="4" t="n"/>
      <c r="G223" s="4" t="n"/>
      <c r="H223" s="35">
        <f>IF(OR(E223="",F223="",G223=""),"",E223&amp;"|"&amp;F223&amp;"|"&amp;G223)</f>
        <v/>
      </c>
      <c r="I223" s="36">
        <f>IFERROR(INDEX('8. Base UE (source TCD)'!$J$4:$J$326,MATCH(H223,'8. Base UE (source TCD)'!$L$4:$L$326,0)),"")</f>
        <v/>
      </c>
      <c r="J223" s="16" t="n"/>
      <c r="K223" s="16" t="n"/>
      <c r="L223" s="36">
        <f>IF(COUNT(J223:K223)=0,"",ROUND(J223*$F$2+K223*$I$2,2))</f>
        <v/>
      </c>
      <c r="M223" s="36">
        <f>IF(L223="","",L223*I223)</f>
        <v/>
      </c>
    </row>
    <row r="224">
      <c r="A224" s="16" t="n">
        <v>220</v>
      </c>
      <c r="B224" s="18" t="n"/>
      <c r="C224" s="18" t="n"/>
      <c r="D224" s="18" t="n"/>
      <c r="E224" s="18" t="n"/>
      <c r="F224" s="18" t="n"/>
      <c r="G224" s="18" t="n"/>
      <c r="H224" s="35">
        <f>IF(OR(E224="",F224="",G224=""),"",E224&amp;"|"&amp;F224&amp;"|"&amp;G224)</f>
        <v/>
      </c>
      <c r="I224" s="36">
        <f>IFERROR(INDEX('8. Base UE (source TCD)'!$J$4:$J$326,MATCH(H224,'8. Base UE (source TCD)'!$L$4:$L$326,0)),"")</f>
        <v/>
      </c>
      <c r="J224" s="17" t="n"/>
      <c r="K224" s="17" t="n"/>
      <c r="L224" s="36">
        <f>IF(COUNT(J224:K224)=0,"",ROUND(J224*$F$2+K224*$I$2,2))</f>
        <v/>
      </c>
      <c r="M224" s="36">
        <f>IF(L224="","",L224*I224)</f>
        <v/>
      </c>
    </row>
    <row r="225">
      <c r="A225" s="16" t="n">
        <v>221</v>
      </c>
      <c r="B225" s="4" t="n"/>
      <c r="C225" s="4" t="n"/>
      <c r="D225" s="4" t="n"/>
      <c r="E225" s="4" t="n"/>
      <c r="F225" s="4" t="n"/>
      <c r="G225" s="4" t="n"/>
      <c r="H225" s="35">
        <f>IF(OR(E225="",F225="",G225=""),"",E225&amp;"|"&amp;F225&amp;"|"&amp;G225)</f>
        <v/>
      </c>
      <c r="I225" s="36">
        <f>IFERROR(INDEX('8. Base UE (source TCD)'!$J$4:$J$326,MATCH(H225,'8. Base UE (source TCD)'!$L$4:$L$326,0)),"")</f>
        <v/>
      </c>
      <c r="J225" s="16" t="n"/>
      <c r="K225" s="16" t="n"/>
      <c r="L225" s="36">
        <f>IF(COUNT(J225:K225)=0,"",ROUND(J225*$F$2+K225*$I$2,2))</f>
        <v/>
      </c>
      <c r="M225" s="36">
        <f>IF(L225="","",L225*I225)</f>
        <v/>
      </c>
    </row>
    <row r="226">
      <c r="A226" s="16" t="n">
        <v>222</v>
      </c>
      <c r="B226" s="18" t="n"/>
      <c r="C226" s="18" t="n"/>
      <c r="D226" s="18" t="n"/>
      <c r="E226" s="18" t="n"/>
      <c r="F226" s="18" t="n"/>
      <c r="G226" s="18" t="n"/>
      <c r="H226" s="35">
        <f>IF(OR(E226="",F226="",G226=""),"",E226&amp;"|"&amp;F226&amp;"|"&amp;G226)</f>
        <v/>
      </c>
      <c r="I226" s="36">
        <f>IFERROR(INDEX('8. Base UE (source TCD)'!$J$4:$J$326,MATCH(H226,'8. Base UE (source TCD)'!$L$4:$L$326,0)),"")</f>
        <v/>
      </c>
      <c r="J226" s="17" t="n"/>
      <c r="K226" s="17" t="n"/>
      <c r="L226" s="36">
        <f>IF(COUNT(J226:K226)=0,"",ROUND(J226*$F$2+K226*$I$2,2))</f>
        <v/>
      </c>
      <c r="M226" s="36">
        <f>IF(L226="","",L226*I226)</f>
        <v/>
      </c>
    </row>
    <row r="227">
      <c r="A227" s="16" t="n">
        <v>223</v>
      </c>
      <c r="B227" s="4" t="n"/>
      <c r="C227" s="4" t="n"/>
      <c r="D227" s="4" t="n"/>
      <c r="E227" s="4" t="n"/>
      <c r="F227" s="4" t="n"/>
      <c r="G227" s="4" t="n"/>
      <c r="H227" s="35">
        <f>IF(OR(E227="",F227="",G227=""),"",E227&amp;"|"&amp;F227&amp;"|"&amp;G227)</f>
        <v/>
      </c>
      <c r="I227" s="36">
        <f>IFERROR(INDEX('8. Base UE (source TCD)'!$J$4:$J$326,MATCH(H227,'8. Base UE (source TCD)'!$L$4:$L$326,0)),"")</f>
        <v/>
      </c>
      <c r="J227" s="16" t="n"/>
      <c r="K227" s="16" t="n"/>
      <c r="L227" s="36">
        <f>IF(COUNT(J227:K227)=0,"",ROUND(J227*$F$2+K227*$I$2,2))</f>
        <v/>
      </c>
      <c r="M227" s="36">
        <f>IF(L227="","",L227*I227)</f>
        <v/>
      </c>
    </row>
    <row r="228">
      <c r="A228" s="16" t="n">
        <v>224</v>
      </c>
      <c r="B228" s="18" t="n"/>
      <c r="C228" s="18" t="n"/>
      <c r="D228" s="18" t="n"/>
      <c r="E228" s="18" t="n"/>
      <c r="F228" s="18" t="n"/>
      <c r="G228" s="18" t="n"/>
      <c r="H228" s="35">
        <f>IF(OR(E228="",F228="",G228=""),"",E228&amp;"|"&amp;F228&amp;"|"&amp;G228)</f>
        <v/>
      </c>
      <c r="I228" s="36">
        <f>IFERROR(INDEX('8. Base UE (source TCD)'!$J$4:$J$326,MATCH(H228,'8. Base UE (source TCD)'!$L$4:$L$326,0)),"")</f>
        <v/>
      </c>
      <c r="J228" s="17" t="n"/>
      <c r="K228" s="17" t="n"/>
      <c r="L228" s="36">
        <f>IF(COUNT(J228:K228)=0,"",ROUND(J228*$F$2+K228*$I$2,2))</f>
        <v/>
      </c>
      <c r="M228" s="36">
        <f>IF(L228="","",L228*I228)</f>
        <v/>
      </c>
    </row>
    <row r="229">
      <c r="A229" s="16" t="n">
        <v>225</v>
      </c>
      <c r="B229" s="4" t="n"/>
      <c r="C229" s="4" t="n"/>
      <c r="D229" s="4" t="n"/>
      <c r="E229" s="4" t="n"/>
      <c r="F229" s="4" t="n"/>
      <c r="G229" s="4" t="n"/>
      <c r="H229" s="35">
        <f>IF(OR(E229="",F229="",G229=""),"",E229&amp;"|"&amp;F229&amp;"|"&amp;G229)</f>
        <v/>
      </c>
      <c r="I229" s="36">
        <f>IFERROR(INDEX('8. Base UE (source TCD)'!$J$4:$J$326,MATCH(H229,'8. Base UE (source TCD)'!$L$4:$L$326,0)),"")</f>
        <v/>
      </c>
      <c r="J229" s="16" t="n"/>
      <c r="K229" s="16" t="n"/>
      <c r="L229" s="36">
        <f>IF(COUNT(J229:K229)=0,"",ROUND(J229*$F$2+K229*$I$2,2))</f>
        <v/>
      </c>
      <c r="M229" s="36">
        <f>IF(L229="","",L229*I229)</f>
        <v/>
      </c>
    </row>
    <row r="230">
      <c r="A230" s="16" t="n">
        <v>226</v>
      </c>
      <c r="B230" s="18" t="n"/>
      <c r="C230" s="18" t="n"/>
      <c r="D230" s="18" t="n"/>
      <c r="E230" s="18" t="n"/>
      <c r="F230" s="18" t="n"/>
      <c r="G230" s="18" t="n"/>
      <c r="H230" s="35">
        <f>IF(OR(E230="",F230="",G230=""),"",E230&amp;"|"&amp;F230&amp;"|"&amp;G230)</f>
        <v/>
      </c>
      <c r="I230" s="36">
        <f>IFERROR(INDEX('8. Base UE (source TCD)'!$J$4:$J$326,MATCH(H230,'8. Base UE (source TCD)'!$L$4:$L$326,0)),"")</f>
        <v/>
      </c>
      <c r="J230" s="17" t="n"/>
      <c r="K230" s="17" t="n"/>
      <c r="L230" s="36">
        <f>IF(COUNT(J230:K230)=0,"",ROUND(J230*$F$2+K230*$I$2,2))</f>
        <v/>
      </c>
      <c r="M230" s="36">
        <f>IF(L230="","",L230*I230)</f>
        <v/>
      </c>
    </row>
    <row r="231">
      <c r="A231" s="16" t="n">
        <v>227</v>
      </c>
      <c r="B231" s="4" t="n"/>
      <c r="C231" s="4" t="n"/>
      <c r="D231" s="4" t="n"/>
      <c r="E231" s="4" t="n"/>
      <c r="F231" s="4" t="n"/>
      <c r="G231" s="4" t="n"/>
      <c r="H231" s="35">
        <f>IF(OR(E231="",F231="",G231=""),"",E231&amp;"|"&amp;F231&amp;"|"&amp;G231)</f>
        <v/>
      </c>
      <c r="I231" s="36">
        <f>IFERROR(INDEX('8. Base UE (source TCD)'!$J$4:$J$326,MATCH(H231,'8. Base UE (source TCD)'!$L$4:$L$326,0)),"")</f>
        <v/>
      </c>
      <c r="J231" s="16" t="n"/>
      <c r="K231" s="16" t="n"/>
      <c r="L231" s="36">
        <f>IF(COUNT(J231:K231)=0,"",ROUND(J231*$F$2+K231*$I$2,2))</f>
        <v/>
      </c>
      <c r="M231" s="36">
        <f>IF(L231="","",L231*I231)</f>
        <v/>
      </c>
    </row>
    <row r="232">
      <c r="A232" s="16" t="n">
        <v>228</v>
      </c>
      <c r="B232" s="18" t="n"/>
      <c r="C232" s="18" t="n"/>
      <c r="D232" s="18" t="n"/>
      <c r="E232" s="18" t="n"/>
      <c r="F232" s="18" t="n"/>
      <c r="G232" s="18" t="n"/>
      <c r="H232" s="35">
        <f>IF(OR(E232="",F232="",G232=""),"",E232&amp;"|"&amp;F232&amp;"|"&amp;G232)</f>
        <v/>
      </c>
      <c r="I232" s="36">
        <f>IFERROR(INDEX('8. Base UE (source TCD)'!$J$4:$J$326,MATCH(H232,'8. Base UE (source TCD)'!$L$4:$L$326,0)),"")</f>
        <v/>
      </c>
      <c r="J232" s="17" t="n"/>
      <c r="K232" s="17" t="n"/>
      <c r="L232" s="36">
        <f>IF(COUNT(J232:K232)=0,"",ROUND(J232*$F$2+K232*$I$2,2))</f>
        <v/>
      </c>
      <c r="M232" s="36">
        <f>IF(L232="","",L232*I232)</f>
        <v/>
      </c>
    </row>
    <row r="233">
      <c r="A233" s="16" t="n">
        <v>229</v>
      </c>
      <c r="B233" s="4" t="n"/>
      <c r="C233" s="4" t="n"/>
      <c r="D233" s="4" t="n"/>
      <c r="E233" s="4" t="n"/>
      <c r="F233" s="4" t="n"/>
      <c r="G233" s="4" t="n"/>
      <c r="H233" s="35">
        <f>IF(OR(E233="",F233="",G233=""),"",E233&amp;"|"&amp;F233&amp;"|"&amp;G233)</f>
        <v/>
      </c>
      <c r="I233" s="36">
        <f>IFERROR(INDEX('8. Base UE (source TCD)'!$J$4:$J$326,MATCH(H233,'8. Base UE (source TCD)'!$L$4:$L$326,0)),"")</f>
        <v/>
      </c>
      <c r="J233" s="16" t="n"/>
      <c r="K233" s="16" t="n"/>
      <c r="L233" s="36">
        <f>IF(COUNT(J233:K233)=0,"",ROUND(J233*$F$2+K233*$I$2,2))</f>
        <v/>
      </c>
      <c r="M233" s="36">
        <f>IF(L233="","",L233*I233)</f>
        <v/>
      </c>
    </row>
    <row r="234">
      <c r="A234" s="16" t="n">
        <v>230</v>
      </c>
      <c r="B234" s="18" t="n"/>
      <c r="C234" s="18" t="n"/>
      <c r="D234" s="18" t="n"/>
      <c r="E234" s="18" t="n"/>
      <c r="F234" s="18" t="n"/>
      <c r="G234" s="18" t="n"/>
      <c r="H234" s="35">
        <f>IF(OR(E234="",F234="",G234=""),"",E234&amp;"|"&amp;F234&amp;"|"&amp;G234)</f>
        <v/>
      </c>
      <c r="I234" s="36">
        <f>IFERROR(INDEX('8. Base UE (source TCD)'!$J$4:$J$326,MATCH(H234,'8. Base UE (source TCD)'!$L$4:$L$326,0)),"")</f>
        <v/>
      </c>
      <c r="J234" s="17" t="n"/>
      <c r="K234" s="17" t="n"/>
      <c r="L234" s="36">
        <f>IF(COUNT(J234:K234)=0,"",ROUND(J234*$F$2+K234*$I$2,2))</f>
        <v/>
      </c>
      <c r="M234" s="36">
        <f>IF(L234="","",L234*I234)</f>
        <v/>
      </c>
    </row>
    <row r="235">
      <c r="A235" s="16" t="n">
        <v>231</v>
      </c>
      <c r="B235" s="4" t="n"/>
      <c r="C235" s="4" t="n"/>
      <c r="D235" s="4" t="n"/>
      <c r="E235" s="4" t="n"/>
      <c r="F235" s="4" t="n"/>
      <c r="G235" s="4" t="n"/>
      <c r="H235" s="35">
        <f>IF(OR(E235="",F235="",G235=""),"",E235&amp;"|"&amp;F235&amp;"|"&amp;G235)</f>
        <v/>
      </c>
      <c r="I235" s="36">
        <f>IFERROR(INDEX('8. Base UE (source TCD)'!$J$4:$J$326,MATCH(H235,'8. Base UE (source TCD)'!$L$4:$L$326,0)),"")</f>
        <v/>
      </c>
      <c r="J235" s="16" t="n"/>
      <c r="K235" s="16" t="n"/>
      <c r="L235" s="36">
        <f>IF(COUNT(J235:K235)=0,"",ROUND(J235*$F$2+K235*$I$2,2))</f>
        <v/>
      </c>
      <c r="M235" s="36">
        <f>IF(L235="","",L235*I235)</f>
        <v/>
      </c>
    </row>
    <row r="236">
      <c r="A236" s="16" t="n">
        <v>232</v>
      </c>
      <c r="B236" s="18" t="n"/>
      <c r="C236" s="18" t="n"/>
      <c r="D236" s="18" t="n"/>
      <c r="E236" s="18" t="n"/>
      <c r="F236" s="18" t="n"/>
      <c r="G236" s="18" t="n"/>
      <c r="H236" s="35">
        <f>IF(OR(E236="",F236="",G236=""),"",E236&amp;"|"&amp;F236&amp;"|"&amp;G236)</f>
        <v/>
      </c>
      <c r="I236" s="36">
        <f>IFERROR(INDEX('8. Base UE (source TCD)'!$J$4:$J$326,MATCH(H236,'8. Base UE (source TCD)'!$L$4:$L$326,0)),"")</f>
        <v/>
      </c>
      <c r="J236" s="17" t="n"/>
      <c r="K236" s="17" t="n"/>
      <c r="L236" s="36">
        <f>IF(COUNT(J236:K236)=0,"",ROUND(J236*$F$2+K236*$I$2,2))</f>
        <v/>
      </c>
      <c r="M236" s="36">
        <f>IF(L236="","",L236*I236)</f>
        <v/>
      </c>
    </row>
    <row r="237">
      <c r="A237" s="16" t="n">
        <v>233</v>
      </c>
      <c r="B237" s="4" t="n"/>
      <c r="C237" s="4" t="n"/>
      <c r="D237" s="4" t="n"/>
      <c r="E237" s="4" t="n"/>
      <c r="F237" s="4" t="n"/>
      <c r="G237" s="4" t="n"/>
      <c r="H237" s="35">
        <f>IF(OR(E237="",F237="",G237=""),"",E237&amp;"|"&amp;F237&amp;"|"&amp;G237)</f>
        <v/>
      </c>
      <c r="I237" s="36">
        <f>IFERROR(INDEX('8. Base UE (source TCD)'!$J$4:$J$326,MATCH(H237,'8. Base UE (source TCD)'!$L$4:$L$326,0)),"")</f>
        <v/>
      </c>
      <c r="J237" s="16" t="n"/>
      <c r="K237" s="16" t="n"/>
      <c r="L237" s="36">
        <f>IF(COUNT(J237:K237)=0,"",ROUND(J237*$F$2+K237*$I$2,2))</f>
        <v/>
      </c>
      <c r="M237" s="36">
        <f>IF(L237="","",L237*I237)</f>
        <v/>
      </c>
    </row>
    <row r="238">
      <c r="A238" s="16" t="n">
        <v>234</v>
      </c>
      <c r="B238" s="18" t="n"/>
      <c r="C238" s="18" t="n"/>
      <c r="D238" s="18" t="n"/>
      <c r="E238" s="18" t="n"/>
      <c r="F238" s="18" t="n"/>
      <c r="G238" s="18" t="n"/>
      <c r="H238" s="35">
        <f>IF(OR(E238="",F238="",G238=""),"",E238&amp;"|"&amp;F238&amp;"|"&amp;G238)</f>
        <v/>
      </c>
      <c r="I238" s="36">
        <f>IFERROR(INDEX('8. Base UE (source TCD)'!$J$4:$J$326,MATCH(H238,'8. Base UE (source TCD)'!$L$4:$L$326,0)),"")</f>
        <v/>
      </c>
      <c r="J238" s="17" t="n"/>
      <c r="K238" s="17" t="n"/>
      <c r="L238" s="36">
        <f>IF(COUNT(J238:K238)=0,"",ROUND(J238*$F$2+K238*$I$2,2))</f>
        <v/>
      </c>
      <c r="M238" s="36">
        <f>IF(L238="","",L238*I238)</f>
        <v/>
      </c>
    </row>
    <row r="239">
      <c r="A239" s="16" t="n">
        <v>235</v>
      </c>
      <c r="B239" s="4" t="n"/>
      <c r="C239" s="4" t="n"/>
      <c r="D239" s="4" t="n"/>
      <c r="E239" s="4" t="n"/>
      <c r="F239" s="4" t="n"/>
      <c r="G239" s="4" t="n"/>
      <c r="H239" s="35">
        <f>IF(OR(E239="",F239="",G239=""),"",E239&amp;"|"&amp;F239&amp;"|"&amp;G239)</f>
        <v/>
      </c>
      <c r="I239" s="36">
        <f>IFERROR(INDEX('8. Base UE (source TCD)'!$J$4:$J$326,MATCH(H239,'8. Base UE (source TCD)'!$L$4:$L$326,0)),"")</f>
        <v/>
      </c>
      <c r="J239" s="16" t="n"/>
      <c r="K239" s="16" t="n"/>
      <c r="L239" s="36">
        <f>IF(COUNT(J239:K239)=0,"",ROUND(J239*$F$2+K239*$I$2,2))</f>
        <v/>
      </c>
      <c r="M239" s="36">
        <f>IF(L239="","",L239*I239)</f>
        <v/>
      </c>
    </row>
    <row r="240">
      <c r="A240" s="16" t="n">
        <v>236</v>
      </c>
      <c r="B240" s="18" t="n"/>
      <c r="C240" s="18" t="n"/>
      <c r="D240" s="18" t="n"/>
      <c r="E240" s="18" t="n"/>
      <c r="F240" s="18" t="n"/>
      <c r="G240" s="18" t="n"/>
      <c r="H240" s="35">
        <f>IF(OR(E240="",F240="",G240=""),"",E240&amp;"|"&amp;F240&amp;"|"&amp;G240)</f>
        <v/>
      </c>
      <c r="I240" s="36">
        <f>IFERROR(INDEX('8. Base UE (source TCD)'!$J$4:$J$326,MATCH(H240,'8. Base UE (source TCD)'!$L$4:$L$326,0)),"")</f>
        <v/>
      </c>
      <c r="J240" s="17" t="n"/>
      <c r="K240" s="17" t="n"/>
      <c r="L240" s="36">
        <f>IF(COUNT(J240:K240)=0,"",ROUND(J240*$F$2+K240*$I$2,2))</f>
        <v/>
      </c>
      <c r="M240" s="36">
        <f>IF(L240="","",L240*I240)</f>
        <v/>
      </c>
    </row>
    <row r="241">
      <c r="A241" s="16" t="n">
        <v>237</v>
      </c>
      <c r="B241" s="4" t="n"/>
      <c r="C241" s="4" t="n"/>
      <c r="D241" s="4" t="n"/>
      <c r="E241" s="4" t="n"/>
      <c r="F241" s="4" t="n"/>
      <c r="G241" s="4" t="n"/>
      <c r="H241" s="35">
        <f>IF(OR(E241="",F241="",G241=""),"",E241&amp;"|"&amp;F241&amp;"|"&amp;G241)</f>
        <v/>
      </c>
      <c r="I241" s="36">
        <f>IFERROR(INDEX('8. Base UE (source TCD)'!$J$4:$J$326,MATCH(H241,'8. Base UE (source TCD)'!$L$4:$L$326,0)),"")</f>
        <v/>
      </c>
      <c r="J241" s="16" t="n"/>
      <c r="K241" s="16" t="n"/>
      <c r="L241" s="36">
        <f>IF(COUNT(J241:K241)=0,"",ROUND(J241*$F$2+K241*$I$2,2))</f>
        <v/>
      </c>
      <c r="M241" s="36">
        <f>IF(L241="","",L241*I241)</f>
        <v/>
      </c>
    </row>
    <row r="242">
      <c r="A242" s="16" t="n">
        <v>238</v>
      </c>
      <c r="B242" s="18" t="n"/>
      <c r="C242" s="18" t="n"/>
      <c r="D242" s="18" t="n"/>
      <c r="E242" s="18" t="n"/>
      <c r="F242" s="18" t="n"/>
      <c r="G242" s="18" t="n"/>
      <c r="H242" s="35">
        <f>IF(OR(E242="",F242="",G242=""),"",E242&amp;"|"&amp;F242&amp;"|"&amp;G242)</f>
        <v/>
      </c>
      <c r="I242" s="36">
        <f>IFERROR(INDEX('8. Base UE (source TCD)'!$J$4:$J$326,MATCH(H242,'8. Base UE (source TCD)'!$L$4:$L$326,0)),"")</f>
        <v/>
      </c>
      <c r="J242" s="17" t="n"/>
      <c r="K242" s="17" t="n"/>
      <c r="L242" s="36">
        <f>IF(COUNT(J242:K242)=0,"",ROUND(J242*$F$2+K242*$I$2,2))</f>
        <v/>
      </c>
      <c r="M242" s="36">
        <f>IF(L242="","",L242*I242)</f>
        <v/>
      </c>
    </row>
    <row r="243">
      <c r="A243" s="16" t="n">
        <v>239</v>
      </c>
      <c r="B243" s="4" t="n"/>
      <c r="C243" s="4" t="n"/>
      <c r="D243" s="4" t="n"/>
      <c r="E243" s="4" t="n"/>
      <c r="F243" s="4" t="n"/>
      <c r="G243" s="4" t="n"/>
      <c r="H243" s="35">
        <f>IF(OR(E243="",F243="",G243=""),"",E243&amp;"|"&amp;F243&amp;"|"&amp;G243)</f>
        <v/>
      </c>
      <c r="I243" s="36">
        <f>IFERROR(INDEX('8. Base UE (source TCD)'!$J$4:$J$326,MATCH(H243,'8. Base UE (source TCD)'!$L$4:$L$326,0)),"")</f>
        <v/>
      </c>
      <c r="J243" s="16" t="n"/>
      <c r="K243" s="16" t="n"/>
      <c r="L243" s="36">
        <f>IF(COUNT(J243:K243)=0,"",ROUND(J243*$F$2+K243*$I$2,2))</f>
        <v/>
      </c>
      <c r="M243" s="36">
        <f>IF(L243="","",L243*I243)</f>
        <v/>
      </c>
    </row>
    <row r="244">
      <c r="A244" s="16" t="n">
        <v>240</v>
      </c>
      <c r="B244" s="18" t="n"/>
      <c r="C244" s="18" t="n"/>
      <c r="D244" s="18" t="n"/>
      <c r="E244" s="18" t="n"/>
      <c r="F244" s="18" t="n"/>
      <c r="G244" s="18" t="n"/>
      <c r="H244" s="35">
        <f>IF(OR(E244="",F244="",G244=""),"",E244&amp;"|"&amp;F244&amp;"|"&amp;G244)</f>
        <v/>
      </c>
      <c r="I244" s="36">
        <f>IFERROR(INDEX('8. Base UE (source TCD)'!$J$4:$J$326,MATCH(H244,'8. Base UE (source TCD)'!$L$4:$L$326,0)),"")</f>
        <v/>
      </c>
      <c r="J244" s="17" t="n"/>
      <c r="K244" s="17" t="n"/>
      <c r="L244" s="36">
        <f>IF(COUNT(J244:K244)=0,"",ROUND(J244*$F$2+K244*$I$2,2))</f>
        <v/>
      </c>
      <c r="M244" s="36">
        <f>IF(L244="","",L244*I244)</f>
        <v/>
      </c>
    </row>
    <row r="245">
      <c r="A245" s="16" t="n">
        <v>241</v>
      </c>
      <c r="B245" s="4" t="n"/>
      <c r="C245" s="4" t="n"/>
      <c r="D245" s="4" t="n"/>
      <c r="E245" s="4" t="n"/>
      <c r="F245" s="4" t="n"/>
      <c r="G245" s="4" t="n"/>
      <c r="H245" s="35">
        <f>IF(OR(E245="",F245="",G245=""),"",E245&amp;"|"&amp;F245&amp;"|"&amp;G245)</f>
        <v/>
      </c>
      <c r="I245" s="36">
        <f>IFERROR(INDEX('8. Base UE (source TCD)'!$J$4:$J$326,MATCH(H245,'8. Base UE (source TCD)'!$L$4:$L$326,0)),"")</f>
        <v/>
      </c>
      <c r="J245" s="16" t="n"/>
      <c r="K245" s="16" t="n"/>
      <c r="L245" s="36">
        <f>IF(COUNT(J245:K245)=0,"",ROUND(J245*$F$2+K245*$I$2,2))</f>
        <v/>
      </c>
      <c r="M245" s="36">
        <f>IF(L245="","",L245*I245)</f>
        <v/>
      </c>
    </row>
    <row r="246">
      <c r="A246" s="16" t="n">
        <v>242</v>
      </c>
      <c r="B246" s="18" t="n"/>
      <c r="C246" s="18" t="n"/>
      <c r="D246" s="18" t="n"/>
      <c r="E246" s="18" t="n"/>
      <c r="F246" s="18" t="n"/>
      <c r="G246" s="18" t="n"/>
      <c r="H246" s="35">
        <f>IF(OR(E246="",F246="",G246=""),"",E246&amp;"|"&amp;F246&amp;"|"&amp;G246)</f>
        <v/>
      </c>
      <c r="I246" s="36">
        <f>IFERROR(INDEX('8. Base UE (source TCD)'!$J$4:$J$326,MATCH(H246,'8. Base UE (source TCD)'!$L$4:$L$326,0)),"")</f>
        <v/>
      </c>
      <c r="J246" s="17" t="n"/>
      <c r="K246" s="17" t="n"/>
      <c r="L246" s="36">
        <f>IF(COUNT(J246:K246)=0,"",ROUND(J246*$F$2+K246*$I$2,2))</f>
        <v/>
      </c>
      <c r="M246" s="36">
        <f>IF(L246="","",L246*I246)</f>
        <v/>
      </c>
    </row>
    <row r="247">
      <c r="A247" s="16" t="n">
        <v>243</v>
      </c>
      <c r="B247" s="4" t="n"/>
      <c r="C247" s="4" t="n"/>
      <c r="D247" s="4" t="n"/>
      <c r="E247" s="4" t="n"/>
      <c r="F247" s="4" t="n"/>
      <c r="G247" s="4" t="n"/>
      <c r="H247" s="35">
        <f>IF(OR(E247="",F247="",G247=""),"",E247&amp;"|"&amp;F247&amp;"|"&amp;G247)</f>
        <v/>
      </c>
      <c r="I247" s="36">
        <f>IFERROR(INDEX('8. Base UE (source TCD)'!$J$4:$J$326,MATCH(H247,'8. Base UE (source TCD)'!$L$4:$L$326,0)),"")</f>
        <v/>
      </c>
      <c r="J247" s="16" t="n"/>
      <c r="K247" s="16" t="n"/>
      <c r="L247" s="36">
        <f>IF(COUNT(J247:K247)=0,"",ROUND(J247*$F$2+K247*$I$2,2))</f>
        <v/>
      </c>
      <c r="M247" s="36">
        <f>IF(L247="","",L247*I247)</f>
        <v/>
      </c>
    </row>
    <row r="248">
      <c r="A248" s="16" t="n">
        <v>244</v>
      </c>
      <c r="B248" s="18" t="n"/>
      <c r="C248" s="18" t="n"/>
      <c r="D248" s="18" t="n"/>
      <c r="E248" s="18" t="n"/>
      <c r="F248" s="18" t="n"/>
      <c r="G248" s="18" t="n"/>
      <c r="H248" s="35">
        <f>IF(OR(E248="",F248="",G248=""),"",E248&amp;"|"&amp;F248&amp;"|"&amp;G248)</f>
        <v/>
      </c>
      <c r="I248" s="36">
        <f>IFERROR(INDEX('8. Base UE (source TCD)'!$J$4:$J$326,MATCH(H248,'8. Base UE (source TCD)'!$L$4:$L$326,0)),"")</f>
        <v/>
      </c>
      <c r="J248" s="17" t="n"/>
      <c r="K248" s="17" t="n"/>
      <c r="L248" s="36">
        <f>IF(COUNT(J248:K248)=0,"",ROUND(J248*$F$2+K248*$I$2,2))</f>
        <v/>
      </c>
      <c r="M248" s="36">
        <f>IF(L248="","",L248*I248)</f>
        <v/>
      </c>
    </row>
    <row r="249">
      <c r="A249" s="16" t="n">
        <v>245</v>
      </c>
      <c r="B249" s="4" t="n"/>
      <c r="C249" s="4" t="n"/>
      <c r="D249" s="4" t="n"/>
      <c r="E249" s="4" t="n"/>
      <c r="F249" s="4" t="n"/>
      <c r="G249" s="4" t="n"/>
      <c r="H249" s="35">
        <f>IF(OR(E249="",F249="",G249=""),"",E249&amp;"|"&amp;F249&amp;"|"&amp;G249)</f>
        <v/>
      </c>
      <c r="I249" s="36">
        <f>IFERROR(INDEX('8. Base UE (source TCD)'!$J$4:$J$326,MATCH(H249,'8. Base UE (source TCD)'!$L$4:$L$326,0)),"")</f>
        <v/>
      </c>
      <c r="J249" s="16" t="n"/>
      <c r="K249" s="16" t="n"/>
      <c r="L249" s="36">
        <f>IF(COUNT(J249:K249)=0,"",ROUND(J249*$F$2+K249*$I$2,2))</f>
        <v/>
      </c>
      <c r="M249" s="36">
        <f>IF(L249="","",L249*I249)</f>
        <v/>
      </c>
    </row>
    <row r="250">
      <c r="A250" s="16" t="n">
        <v>246</v>
      </c>
      <c r="B250" s="18" t="n"/>
      <c r="C250" s="18" t="n"/>
      <c r="D250" s="18" t="n"/>
      <c r="E250" s="18" t="n"/>
      <c r="F250" s="18" t="n"/>
      <c r="G250" s="18" t="n"/>
      <c r="H250" s="35">
        <f>IF(OR(E250="",F250="",G250=""),"",E250&amp;"|"&amp;F250&amp;"|"&amp;G250)</f>
        <v/>
      </c>
      <c r="I250" s="36">
        <f>IFERROR(INDEX('8. Base UE (source TCD)'!$J$4:$J$326,MATCH(H250,'8. Base UE (source TCD)'!$L$4:$L$326,0)),"")</f>
        <v/>
      </c>
      <c r="J250" s="17" t="n"/>
      <c r="K250" s="17" t="n"/>
      <c r="L250" s="36">
        <f>IF(COUNT(J250:K250)=0,"",ROUND(J250*$F$2+K250*$I$2,2))</f>
        <v/>
      </c>
      <c r="M250" s="36">
        <f>IF(L250="","",L250*I250)</f>
        <v/>
      </c>
    </row>
    <row r="251">
      <c r="A251" s="16" t="n">
        <v>247</v>
      </c>
      <c r="B251" s="4" t="n"/>
      <c r="C251" s="4" t="n"/>
      <c r="D251" s="4" t="n"/>
      <c r="E251" s="4" t="n"/>
      <c r="F251" s="4" t="n"/>
      <c r="G251" s="4" t="n"/>
      <c r="H251" s="35">
        <f>IF(OR(E251="",F251="",G251=""),"",E251&amp;"|"&amp;F251&amp;"|"&amp;G251)</f>
        <v/>
      </c>
      <c r="I251" s="36">
        <f>IFERROR(INDEX('8. Base UE (source TCD)'!$J$4:$J$326,MATCH(H251,'8. Base UE (source TCD)'!$L$4:$L$326,0)),"")</f>
        <v/>
      </c>
      <c r="J251" s="16" t="n"/>
      <c r="K251" s="16" t="n"/>
      <c r="L251" s="36">
        <f>IF(COUNT(J251:K251)=0,"",ROUND(J251*$F$2+K251*$I$2,2))</f>
        <v/>
      </c>
      <c r="M251" s="36">
        <f>IF(L251="","",L251*I251)</f>
        <v/>
      </c>
    </row>
    <row r="252">
      <c r="A252" s="16" t="n">
        <v>248</v>
      </c>
      <c r="B252" s="18" t="n"/>
      <c r="C252" s="18" t="n"/>
      <c r="D252" s="18" t="n"/>
      <c r="E252" s="18" t="n"/>
      <c r="F252" s="18" t="n"/>
      <c r="G252" s="18" t="n"/>
      <c r="H252" s="35">
        <f>IF(OR(E252="",F252="",G252=""),"",E252&amp;"|"&amp;F252&amp;"|"&amp;G252)</f>
        <v/>
      </c>
      <c r="I252" s="36">
        <f>IFERROR(INDEX('8. Base UE (source TCD)'!$J$4:$J$326,MATCH(H252,'8. Base UE (source TCD)'!$L$4:$L$326,0)),"")</f>
        <v/>
      </c>
      <c r="J252" s="17" t="n"/>
      <c r="K252" s="17" t="n"/>
      <c r="L252" s="36">
        <f>IF(COUNT(J252:K252)=0,"",ROUND(J252*$F$2+K252*$I$2,2))</f>
        <v/>
      </c>
      <c r="M252" s="36">
        <f>IF(L252="","",L252*I252)</f>
        <v/>
      </c>
    </row>
    <row r="253">
      <c r="A253" s="16" t="n">
        <v>249</v>
      </c>
      <c r="B253" s="4" t="n"/>
      <c r="C253" s="4" t="n"/>
      <c r="D253" s="4" t="n"/>
      <c r="E253" s="4" t="n"/>
      <c r="F253" s="4" t="n"/>
      <c r="G253" s="4" t="n"/>
      <c r="H253" s="35">
        <f>IF(OR(E253="",F253="",G253=""),"",E253&amp;"|"&amp;F253&amp;"|"&amp;G253)</f>
        <v/>
      </c>
      <c r="I253" s="36">
        <f>IFERROR(INDEX('8. Base UE (source TCD)'!$J$4:$J$326,MATCH(H253,'8. Base UE (source TCD)'!$L$4:$L$326,0)),"")</f>
        <v/>
      </c>
      <c r="J253" s="16" t="n"/>
      <c r="K253" s="16" t="n"/>
      <c r="L253" s="36">
        <f>IF(COUNT(J253:K253)=0,"",ROUND(J253*$F$2+K253*$I$2,2))</f>
        <v/>
      </c>
      <c r="M253" s="36">
        <f>IF(L253="","",L253*I253)</f>
        <v/>
      </c>
    </row>
    <row r="254">
      <c r="A254" s="16" t="n">
        <v>250</v>
      </c>
      <c r="B254" s="18" t="n"/>
      <c r="C254" s="18" t="n"/>
      <c r="D254" s="18" t="n"/>
      <c r="E254" s="18" t="n"/>
      <c r="F254" s="18" t="n"/>
      <c r="G254" s="18" t="n"/>
      <c r="H254" s="35">
        <f>IF(OR(E254="",F254="",G254=""),"",E254&amp;"|"&amp;F254&amp;"|"&amp;G254)</f>
        <v/>
      </c>
      <c r="I254" s="36">
        <f>IFERROR(INDEX('8. Base UE (source TCD)'!$J$4:$J$326,MATCH(H254,'8. Base UE (source TCD)'!$L$4:$L$326,0)),"")</f>
        <v/>
      </c>
      <c r="J254" s="17" t="n"/>
      <c r="K254" s="17" t="n"/>
      <c r="L254" s="36">
        <f>IF(COUNT(J254:K254)=0,"",ROUND(J254*$F$2+K254*$I$2,2))</f>
        <v/>
      </c>
      <c r="M254" s="36">
        <f>IF(L254="","",L254*I254)</f>
        <v/>
      </c>
    </row>
    <row r="255">
      <c r="A255" s="16" t="n">
        <v>251</v>
      </c>
      <c r="B255" s="4" t="n"/>
      <c r="C255" s="4" t="n"/>
      <c r="D255" s="4" t="n"/>
      <c r="E255" s="4" t="n"/>
      <c r="F255" s="4" t="n"/>
      <c r="G255" s="4" t="n"/>
      <c r="H255" s="35">
        <f>IF(OR(E255="",F255="",G255=""),"",E255&amp;"|"&amp;F255&amp;"|"&amp;G255)</f>
        <v/>
      </c>
      <c r="I255" s="36">
        <f>IFERROR(INDEX('8. Base UE (source TCD)'!$J$4:$J$326,MATCH(H255,'8. Base UE (source TCD)'!$L$4:$L$326,0)),"")</f>
        <v/>
      </c>
      <c r="J255" s="16" t="n"/>
      <c r="K255" s="16" t="n"/>
      <c r="L255" s="36">
        <f>IF(COUNT(J255:K255)=0,"",ROUND(J255*$F$2+K255*$I$2,2))</f>
        <v/>
      </c>
      <c r="M255" s="36">
        <f>IF(L255="","",L255*I255)</f>
        <v/>
      </c>
    </row>
    <row r="256">
      <c r="A256" s="16" t="n">
        <v>252</v>
      </c>
      <c r="B256" s="18" t="n"/>
      <c r="C256" s="18" t="n"/>
      <c r="D256" s="18" t="n"/>
      <c r="E256" s="18" t="n"/>
      <c r="F256" s="18" t="n"/>
      <c r="G256" s="18" t="n"/>
      <c r="H256" s="35">
        <f>IF(OR(E256="",F256="",G256=""),"",E256&amp;"|"&amp;F256&amp;"|"&amp;G256)</f>
        <v/>
      </c>
      <c r="I256" s="36">
        <f>IFERROR(INDEX('8. Base UE (source TCD)'!$J$4:$J$326,MATCH(H256,'8. Base UE (source TCD)'!$L$4:$L$326,0)),"")</f>
        <v/>
      </c>
      <c r="J256" s="17" t="n"/>
      <c r="K256" s="17" t="n"/>
      <c r="L256" s="36">
        <f>IF(COUNT(J256:K256)=0,"",ROUND(J256*$F$2+K256*$I$2,2))</f>
        <v/>
      </c>
      <c r="M256" s="36">
        <f>IF(L256="","",L256*I256)</f>
        <v/>
      </c>
    </row>
    <row r="257">
      <c r="A257" s="16" t="n">
        <v>253</v>
      </c>
      <c r="B257" s="4" t="n"/>
      <c r="C257" s="4" t="n"/>
      <c r="D257" s="4" t="n"/>
      <c r="E257" s="4" t="n"/>
      <c r="F257" s="4" t="n"/>
      <c r="G257" s="4" t="n"/>
      <c r="H257" s="35">
        <f>IF(OR(E257="",F257="",G257=""),"",E257&amp;"|"&amp;F257&amp;"|"&amp;G257)</f>
        <v/>
      </c>
      <c r="I257" s="36">
        <f>IFERROR(INDEX('8. Base UE (source TCD)'!$J$4:$J$326,MATCH(H257,'8. Base UE (source TCD)'!$L$4:$L$326,0)),"")</f>
        <v/>
      </c>
      <c r="J257" s="16" t="n"/>
      <c r="K257" s="16" t="n"/>
      <c r="L257" s="36">
        <f>IF(COUNT(J257:K257)=0,"",ROUND(J257*$F$2+K257*$I$2,2))</f>
        <v/>
      </c>
      <c r="M257" s="36">
        <f>IF(L257="","",L257*I257)</f>
        <v/>
      </c>
    </row>
    <row r="258">
      <c r="A258" s="16" t="n">
        <v>254</v>
      </c>
      <c r="B258" s="18" t="n"/>
      <c r="C258" s="18" t="n"/>
      <c r="D258" s="18" t="n"/>
      <c r="E258" s="18" t="n"/>
      <c r="F258" s="18" t="n"/>
      <c r="G258" s="18" t="n"/>
      <c r="H258" s="35">
        <f>IF(OR(E258="",F258="",G258=""),"",E258&amp;"|"&amp;F258&amp;"|"&amp;G258)</f>
        <v/>
      </c>
      <c r="I258" s="36">
        <f>IFERROR(INDEX('8. Base UE (source TCD)'!$J$4:$J$326,MATCH(H258,'8. Base UE (source TCD)'!$L$4:$L$326,0)),"")</f>
        <v/>
      </c>
      <c r="J258" s="17" t="n"/>
      <c r="K258" s="17" t="n"/>
      <c r="L258" s="36">
        <f>IF(COUNT(J258:K258)=0,"",ROUND(J258*$F$2+K258*$I$2,2))</f>
        <v/>
      </c>
      <c r="M258" s="36">
        <f>IF(L258="","",L258*I258)</f>
        <v/>
      </c>
    </row>
    <row r="259">
      <c r="A259" s="16" t="n">
        <v>255</v>
      </c>
      <c r="B259" s="4" t="n"/>
      <c r="C259" s="4" t="n"/>
      <c r="D259" s="4" t="n"/>
      <c r="E259" s="4" t="n"/>
      <c r="F259" s="4" t="n"/>
      <c r="G259" s="4" t="n"/>
      <c r="H259" s="35">
        <f>IF(OR(E259="",F259="",G259=""),"",E259&amp;"|"&amp;F259&amp;"|"&amp;G259)</f>
        <v/>
      </c>
      <c r="I259" s="36">
        <f>IFERROR(INDEX('8. Base UE (source TCD)'!$J$4:$J$326,MATCH(H259,'8. Base UE (source TCD)'!$L$4:$L$326,0)),"")</f>
        <v/>
      </c>
      <c r="J259" s="16" t="n"/>
      <c r="K259" s="16" t="n"/>
      <c r="L259" s="36">
        <f>IF(COUNT(J259:K259)=0,"",ROUND(J259*$F$2+K259*$I$2,2))</f>
        <v/>
      </c>
      <c r="M259" s="36">
        <f>IF(L259="","",L259*I259)</f>
        <v/>
      </c>
    </row>
    <row r="260">
      <c r="A260" s="16" t="n">
        <v>256</v>
      </c>
      <c r="B260" s="18" t="n"/>
      <c r="C260" s="18" t="n"/>
      <c r="D260" s="18" t="n"/>
      <c r="E260" s="18" t="n"/>
      <c r="F260" s="18" t="n"/>
      <c r="G260" s="18" t="n"/>
      <c r="H260" s="35">
        <f>IF(OR(E260="",F260="",G260=""),"",E260&amp;"|"&amp;F260&amp;"|"&amp;G260)</f>
        <v/>
      </c>
      <c r="I260" s="36">
        <f>IFERROR(INDEX('8. Base UE (source TCD)'!$J$4:$J$326,MATCH(H260,'8. Base UE (source TCD)'!$L$4:$L$326,0)),"")</f>
        <v/>
      </c>
      <c r="J260" s="17" t="n"/>
      <c r="K260" s="17" t="n"/>
      <c r="L260" s="36">
        <f>IF(COUNT(J260:K260)=0,"",ROUND(J260*$F$2+K260*$I$2,2))</f>
        <v/>
      </c>
      <c r="M260" s="36">
        <f>IF(L260="","",L260*I260)</f>
        <v/>
      </c>
    </row>
    <row r="261">
      <c r="A261" s="16" t="n">
        <v>257</v>
      </c>
      <c r="B261" s="4" t="n"/>
      <c r="C261" s="4" t="n"/>
      <c r="D261" s="4" t="n"/>
      <c r="E261" s="4" t="n"/>
      <c r="F261" s="4" t="n"/>
      <c r="G261" s="4" t="n"/>
      <c r="H261" s="35">
        <f>IF(OR(E261="",F261="",G261=""),"",E261&amp;"|"&amp;F261&amp;"|"&amp;G261)</f>
        <v/>
      </c>
      <c r="I261" s="36">
        <f>IFERROR(INDEX('8. Base UE (source TCD)'!$J$4:$J$326,MATCH(H261,'8. Base UE (source TCD)'!$L$4:$L$326,0)),"")</f>
        <v/>
      </c>
      <c r="J261" s="16" t="n"/>
      <c r="K261" s="16" t="n"/>
      <c r="L261" s="36">
        <f>IF(COUNT(J261:K261)=0,"",ROUND(J261*$F$2+K261*$I$2,2))</f>
        <v/>
      </c>
      <c r="M261" s="36">
        <f>IF(L261="","",L261*I261)</f>
        <v/>
      </c>
    </row>
    <row r="262">
      <c r="A262" s="16" t="n">
        <v>258</v>
      </c>
      <c r="B262" s="18" t="n"/>
      <c r="C262" s="18" t="n"/>
      <c r="D262" s="18" t="n"/>
      <c r="E262" s="18" t="n"/>
      <c r="F262" s="18" t="n"/>
      <c r="G262" s="18" t="n"/>
      <c r="H262" s="35">
        <f>IF(OR(E262="",F262="",G262=""),"",E262&amp;"|"&amp;F262&amp;"|"&amp;G262)</f>
        <v/>
      </c>
      <c r="I262" s="36">
        <f>IFERROR(INDEX('8. Base UE (source TCD)'!$J$4:$J$326,MATCH(H262,'8. Base UE (source TCD)'!$L$4:$L$326,0)),"")</f>
        <v/>
      </c>
      <c r="J262" s="17" t="n"/>
      <c r="K262" s="17" t="n"/>
      <c r="L262" s="36">
        <f>IF(COUNT(J262:K262)=0,"",ROUND(J262*$F$2+K262*$I$2,2))</f>
        <v/>
      </c>
      <c r="M262" s="36">
        <f>IF(L262="","",L262*I262)</f>
        <v/>
      </c>
    </row>
    <row r="263">
      <c r="A263" s="16" t="n">
        <v>259</v>
      </c>
      <c r="B263" s="4" t="n"/>
      <c r="C263" s="4" t="n"/>
      <c r="D263" s="4" t="n"/>
      <c r="E263" s="4" t="n"/>
      <c r="F263" s="4" t="n"/>
      <c r="G263" s="4" t="n"/>
      <c r="H263" s="35">
        <f>IF(OR(E263="",F263="",G263=""),"",E263&amp;"|"&amp;F263&amp;"|"&amp;G263)</f>
        <v/>
      </c>
      <c r="I263" s="36">
        <f>IFERROR(INDEX('8. Base UE (source TCD)'!$J$4:$J$326,MATCH(H263,'8. Base UE (source TCD)'!$L$4:$L$326,0)),"")</f>
        <v/>
      </c>
      <c r="J263" s="16" t="n"/>
      <c r="K263" s="16" t="n"/>
      <c r="L263" s="36">
        <f>IF(COUNT(J263:K263)=0,"",ROUND(J263*$F$2+K263*$I$2,2))</f>
        <v/>
      </c>
      <c r="M263" s="36">
        <f>IF(L263="","",L263*I263)</f>
        <v/>
      </c>
    </row>
    <row r="264">
      <c r="A264" s="16" t="n">
        <v>260</v>
      </c>
      <c r="B264" s="18" t="n"/>
      <c r="C264" s="18" t="n"/>
      <c r="D264" s="18" t="n"/>
      <c r="E264" s="18" t="n"/>
      <c r="F264" s="18" t="n"/>
      <c r="G264" s="18" t="n"/>
      <c r="H264" s="35">
        <f>IF(OR(E264="",F264="",G264=""),"",E264&amp;"|"&amp;F264&amp;"|"&amp;G264)</f>
        <v/>
      </c>
      <c r="I264" s="36">
        <f>IFERROR(INDEX('8. Base UE (source TCD)'!$J$4:$J$326,MATCH(H264,'8. Base UE (source TCD)'!$L$4:$L$326,0)),"")</f>
        <v/>
      </c>
      <c r="J264" s="17" t="n"/>
      <c r="K264" s="17" t="n"/>
      <c r="L264" s="36">
        <f>IF(COUNT(J264:K264)=0,"",ROUND(J264*$F$2+K264*$I$2,2))</f>
        <v/>
      </c>
      <c r="M264" s="36">
        <f>IF(L264="","",L264*I264)</f>
        <v/>
      </c>
    </row>
    <row r="265">
      <c r="A265" s="16" t="n">
        <v>261</v>
      </c>
      <c r="B265" s="4" t="n"/>
      <c r="C265" s="4" t="n"/>
      <c r="D265" s="4" t="n"/>
      <c r="E265" s="4" t="n"/>
      <c r="F265" s="4" t="n"/>
      <c r="G265" s="4" t="n"/>
      <c r="H265" s="35">
        <f>IF(OR(E265="",F265="",G265=""),"",E265&amp;"|"&amp;F265&amp;"|"&amp;G265)</f>
        <v/>
      </c>
      <c r="I265" s="36">
        <f>IFERROR(INDEX('8. Base UE (source TCD)'!$J$4:$J$326,MATCH(H265,'8. Base UE (source TCD)'!$L$4:$L$326,0)),"")</f>
        <v/>
      </c>
      <c r="J265" s="16" t="n"/>
      <c r="K265" s="16" t="n"/>
      <c r="L265" s="36">
        <f>IF(COUNT(J265:K265)=0,"",ROUND(J265*$F$2+K265*$I$2,2))</f>
        <v/>
      </c>
      <c r="M265" s="36">
        <f>IF(L265="","",L265*I265)</f>
        <v/>
      </c>
    </row>
    <row r="266">
      <c r="A266" s="16" t="n">
        <v>262</v>
      </c>
      <c r="B266" s="18" t="n"/>
      <c r="C266" s="18" t="n"/>
      <c r="D266" s="18" t="n"/>
      <c r="E266" s="18" t="n"/>
      <c r="F266" s="18" t="n"/>
      <c r="G266" s="18" t="n"/>
      <c r="H266" s="35">
        <f>IF(OR(E266="",F266="",G266=""),"",E266&amp;"|"&amp;F266&amp;"|"&amp;G266)</f>
        <v/>
      </c>
      <c r="I266" s="36">
        <f>IFERROR(INDEX('8. Base UE (source TCD)'!$J$4:$J$326,MATCH(H266,'8. Base UE (source TCD)'!$L$4:$L$326,0)),"")</f>
        <v/>
      </c>
      <c r="J266" s="17" t="n"/>
      <c r="K266" s="17" t="n"/>
      <c r="L266" s="36">
        <f>IF(COUNT(J266:K266)=0,"",ROUND(J266*$F$2+K266*$I$2,2))</f>
        <v/>
      </c>
      <c r="M266" s="36">
        <f>IF(L266="","",L266*I266)</f>
        <v/>
      </c>
    </row>
    <row r="267">
      <c r="A267" s="16" t="n">
        <v>263</v>
      </c>
      <c r="B267" s="4" t="n"/>
      <c r="C267" s="4" t="n"/>
      <c r="D267" s="4" t="n"/>
      <c r="E267" s="4" t="n"/>
      <c r="F267" s="4" t="n"/>
      <c r="G267" s="4" t="n"/>
      <c r="H267" s="35">
        <f>IF(OR(E267="",F267="",G267=""),"",E267&amp;"|"&amp;F267&amp;"|"&amp;G267)</f>
        <v/>
      </c>
      <c r="I267" s="36">
        <f>IFERROR(INDEX('8. Base UE (source TCD)'!$J$4:$J$326,MATCH(H267,'8. Base UE (source TCD)'!$L$4:$L$326,0)),"")</f>
        <v/>
      </c>
      <c r="J267" s="16" t="n"/>
      <c r="K267" s="16" t="n"/>
      <c r="L267" s="36">
        <f>IF(COUNT(J267:K267)=0,"",ROUND(J267*$F$2+K267*$I$2,2))</f>
        <v/>
      </c>
      <c r="M267" s="36">
        <f>IF(L267="","",L267*I267)</f>
        <v/>
      </c>
    </row>
    <row r="268">
      <c r="A268" s="16" t="n">
        <v>264</v>
      </c>
      <c r="B268" s="18" t="n"/>
      <c r="C268" s="18" t="n"/>
      <c r="D268" s="18" t="n"/>
      <c r="E268" s="18" t="n"/>
      <c r="F268" s="18" t="n"/>
      <c r="G268" s="18" t="n"/>
      <c r="H268" s="35">
        <f>IF(OR(E268="",F268="",G268=""),"",E268&amp;"|"&amp;F268&amp;"|"&amp;G268)</f>
        <v/>
      </c>
      <c r="I268" s="36">
        <f>IFERROR(INDEX('8. Base UE (source TCD)'!$J$4:$J$326,MATCH(H268,'8. Base UE (source TCD)'!$L$4:$L$326,0)),"")</f>
        <v/>
      </c>
      <c r="J268" s="17" t="n"/>
      <c r="K268" s="17" t="n"/>
      <c r="L268" s="36">
        <f>IF(COUNT(J268:K268)=0,"",ROUND(J268*$F$2+K268*$I$2,2))</f>
        <v/>
      </c>
      <c r="M268" s="36">
        <f>IF(L268="","",L268*I268)</f>
        <v/>
      </c>
    </row>
    <row r="269">
      <c r="A269" s="16" t="n">
        <v>265</v>
      </c>
      <c r="B269" s="4" t="n"/>
      <c r="C269" s="4" t="n"/>
      <c r="D269" s="4" t="n"/>
      <c r="E269" s="4" t="n"/>
      <c r="F269" s="4" t="n"/>
      <c r="G269" s="4" t="n"/>
      <c r="H269" s="35">
        <f>IF(OR(E269="",F269="",G269=""),"",E269&amp;"|"&amp;F269&amp;"|"&amp;G269)</f>
        <v/>
      </c>
      <c r="I269" s="36">
        <f>IFERROR(INDEX('8. Base UE (source TCD)'!$J$4:$J$326,MATCH(H269,'8. Base UE (source TCD)'!$L$4:$L$326,0)),"")</f>
        <v/>
      </c>
      <c r="J269" s="16" t="n"/>
      <c r="K269" s="16" t="n"/>
      <c r="L269" s="36">
        <f>IF(COUNT(J269:K269)=0,"",ROUND(J269*$F$2+K269*$I$2,2))</f>
        <v/>
      </c>
      <c r="M269" s="36">
        <f>IF(L269="","",L269*I269)</f>
        <v/>
      </c>
    </row>
    <row r="270">
      <c r="A270" s="16" t="n">
        <v>266</v>
      </c>
      <c r="B270" s="18" t="n"/>
      <c r="C270" s="18" t="n"/>
      <c r="D270" s="18" t="n"/>
      <c r="E270" s="18" t="n"/>
      <c r="F270" s="18" t="n"/>
      <c r="G270" s="18" t="n"/>
      <c r="H270" s="35">
        <f>IF(OR(E270="",F270="",G270=""),"",E270&amp;"|"&amp;F270&amp;"|"&amp;G270)</f>
        <v/>
      </c>
      <c r="I270" s="36">
        <f>IFERROR(INDEX('8. Base UE (source TCD)'!$J$4:$J$326,MATCH(H270,'8. Base UE (source TCD)'!$L$4:$L$326,0)),"")</f>
        <v/>
      </c>
      <c r="J270" s="17" t="n"/>
      <c r="K270" s="17" t="n"/>
      <c r="L270" s="36">
        <f>IF(COUNT(J270:K270)=0,"",ROUND(J270*$F$2+K270*$I$2,2))</f>
        <v/>
      </c>
      <c r="M270" s="36">
        <f>IF(L270="","",L270*I270)</f>
        <v/>
      </c>
    </row>
    <row r="271">
      <c r="A271" s="16" t="n">
        <v>267</v>
      </c>
      <c r="B271" s="4" t="n"/>
      <c r="C271" s="4" t="n"/>
      <c r="D271" s="4" t="n"/>
      <c r="E271" s="4" t="n"/>
      <c r="F271" s="4" t="n"/>
      <c r="G271" s="4" t="n"/>
      <c r="H271" s="35">
        <f>IF(OR(E271="",F271="",G271=""),"",E271&amp;"|"&amp;F271&amp;"|"&amp;G271)</f>
        <v/>
      </c>
      <c r="I271" s="36">
        <f>IFERROR(INDEX('8. Base UE (source TCD)'!$J$4:$J$326,MATCH(H271,'8. Base UE (source TCD)'!$L$4:$L$326,0)),"")</f>
        <v/>
      </c>
      <c r="J271" s="16" t="n"/>
      <c r="K271" s="16" t="n"/>
      <c r="L271" s="36">
        <f>IF(COUNT(J271:K271)=0,"",ROUND(J271*$F$2+K271*$I$2,2))</f>
        <v/>
      </c>
      <c r="M271" s="36">
        <f>IF(L271="","",L271*I271)</f>
        <v/>
      </c>
    </row>
    <row r="272">
      <c r="A272" s="16" t="n">
        <v>268</v>
      </c>
      <c r="B272" s="18" t="n"/>
      <c r="C272" s="18" t="n"/>
      <c r="D272" s="18" t="n"/>
      <c r="E272" s="18" t="n"/>
      <c r="F272" s="18" t="n"/>
      <c r="G272" s="18" t="n"/>
      <c r="H272" s="35">
        <f>IF(OR(E272="",F272="",G272=""),"",E272&amp;"|"&amp;F272&amp;"|"&amp;G272)</f>
        <v/>
      </c>
      <c r="I272" s="36">
        <f>IFERROR(INDEX('8. Base UE (source TCD)'!$J$4:$J$326,MATCH(H272,'8. Base UE (source TCD)'!$L$4:$L$326,0)),"")</f>
        <v/>
      </c>
      <c r="J272" s="17" t="n"/>
      <c r="K272" s="17" t="n"/>
      <c r="L272" s="36">
        <f>IF(COUNT(J272:K272)=0,"",ROUND(J272*$F$2+K272*$I$2,2))</f>
        <v/>
      </c>
      <c r="M272" s="36">
        <f>IF(L272="","",L272*I272)</f>
        <v/>
      </c>
    </row>
    <row r="273">
      <c r="A273" s="16" t="n">
        <v>269</v>
      </c>
      <c r="B273" s="4" t="n"/>
      <c r="C273" s="4" t="n"/>
      <c r="D273" s="4" t="n"/>
      <c r="E273" s="4" t="n"/>
      <c r="F273" s="4" t="n"/>
      <c r="G273" s="4" t="n"/>
      <c r="H273" s="35">
        <f>IF(OR(E273="",F273="",G273=""),"",E273&amp;"|"&amp;F273&amp;"|"&amp;G273)</f>
        <v/>
      </c>
      <c r="I273" s="36">
        <f>IFERROR(INDEX('8. Base UE (source TCD)'!$J$4:$J$326,MATCH(H273,'8. Base UE (source TCD)'!$L$4:$L$326,0)),"")</f>
        <v/>
      </c>
      <c r="J273" s="16" t="n"/>
      <c r="K273" s="16" t="n"/>
      <c r="L273" s="36">
        <f>IF(COUNT(J273:K273)=0,"",ROUND(J273*$F$2+K273*$I$2,2))</f>
        <v/>
      </c>
      <c r="M273" s="36">
        <f>IF(L273="","",L273*I273)</f>
        <v/>
      </c>
    </row>
    <row r="274">
      <c r="A274" s="16" t="n">
        <v>270</v>
      </c>
      <c r="B274" s="18" t="n"/>
      <c r="C274" s="18" t="n"/>
      <c r="D274" s="18" t="n"/>
      <c r="E274" s="18" t="n"/>
      <c r="F274" s="18" t="n"/>
      <c r="G274" s="18" t="n"/>
      <c r="H274" s="35">
        <f>IF(OR(E274="",F274="",G274=""),"",E274&amp;"|"&amp;F274&amp;"|"&amp;G274)</f>
        <v/>
      </c>
      <c r="I274" s="36">
        <f>IFERROR(INDEX('8. Base UE (source TCD)'!$J$4:$J$326,MATCH(H274,'8. Base UE (source TCD)'!$L$4:$L$326,0)),"")</f>
        <v/>
      </c>
      <c r="J274" s="17" t="n"/>
      <c r="K274" s="17" t="n"/>
      <c r="L274" s="36">
        <f>IF(COUNT(J274:K274)=0,"",ROUND(J274*$F$2+K274*$I$2,2))</f>
        <v/>
      </c>
      <c r="M274" s="36">
        <f>IF(L274="","",L274*I274)</f>
        <v/>
      </c>
    </row>
    <row r="275">
      <c r="A275" s="16" t="n">
        <v>271</v>
      </c>
      <c r="B275" s="4" t="n"/>
      <c r="C275" s="4" t="n"/>
      <c r="D275" s="4" t="n"/>
      <c r="E275" s="4" t="n"/>
      <c r="F275" s="4" t="n"/>
      <c r="G275" s="4" t="n"/>
      <c r="H275" s="35">
        <f>IF(OR(E275="",F275="",G275=""),"",E275&amp;"|"&amp;F275&amp;"|"&amp;G275)</f>
        <v/>
      </c>
      <c r="I275" s="36">
        <f>IFERROR(INDEX('8. Base UE (source TCD)'!$J$4:$J$326,MATCH(H275,'8. Base UE (source TCD)'!$L$4:$L$326,0)),"")</f>
        <v/>
      </c>
      <c r="J275" s="16" t="n"/>
      <c r="K275" s="16" t="n"/>
      <c r="L275" s="36">
        <f>IF(COUNT(J275:K275)=0,"",ROUND(J275*$F$2+K275*$I$2,2))</f>
        <v/>
      </c>
      <c r="M275" s="36">
        <f>IF(L275="","",L275*I275)</f>
        <v/>
      </c>
    </row>
    <row r="276">
      <c r="A276" s="16" t="n">
        <v>272</v>
      </c>
      <c r="B276" s="18" t="n"/>
      <c r="C276" s="18" t="n"/>
      <c r="D276" s="18" t="n"/>
      <c r="E276" s="18" t="n"/>
      <c r="F276" s="18" t="n"/>
      <c r="G276" s="18" t="n"/>
      <c r="H276" s="35">
        <f>IF(OR(E276="",F276="",G276=""),"",E276&amp;"|"&amp;F276&amp;"|"&amp;G276)</f>
        <v/>
      </c>
      <c r="I276" s="36">
        <f>IFERROR(INDEX('8. Base UE (source TCD)'!$J$4:$J$326,MATCH(H276,'8. Base UE (source TCD)'!$L$4:$L$326,0)),"")</f>
        <v/>
      </c>
      <c r="J276" s="17" t="n"/>
      <c r="K276" s="17" t="n"/>
      <c r="L276" s="36">
        <f>IF(COUNT(J276:K276)=0,"",ROUND(J276*$F$2+K276*$I$2,2))</f>
        <v/>
      </c>
      <c r="M276" s="36">
        <f>IF(L276="","",L276*I276)</f>
        <v/>
      </c>
    </row>
    <row r="277">
      <c r="A277" s="16" t="n">
        <v>273</v>
      </c>
      <c r="B277" s="4" t="n"/>
      <c r="C277" s="4" t="n"/>
      <c r="D277" s="4" t="n"/>
      <c r="E277" s="4" t="n"/>
      <c r="F277" s="4" t="n"/>
      <c r="G277" s="4" t="n"/>
      <c r="H277" s="35">
        <f>IF(OR(E277="",F277="",G277=""),"",E277&amp;"|"&amp;F277&amp;"|"&amp;G277)</f>
        <v/>
      </c>
      <c r="I277" s="36">
        <f>IFERROR(INDEX('8. Base UE (source TCD)'!$J$4:$J$326,MATCH(H277,'8. Base UE (source TCD)'!$L$4:$L$326,0)),"")</f>
        <v/>
      </c>
      <c r="J277" s="16" t="n"/>
      <c r="K277" s="16" t="n"/>
      <c r="L277" s="36">
        <f>IF(COUNT(J277:K277)=0,"",ROUND(J277*$F$2+K277*$I$2,2))</f>
        <v/>
      </c>
      <c r="M277" s="36">
        <f>IF(L277="","",L277*I277)</f>
        <v/>
      </c>
    </row>
    <row r="278">
      <c r="A278" s="16" t="n">
        <v>274</v>
      </c>
      <c r="B278" s="18" t="n"/>
      <c r="C278" s="18" t="n"/>
      <c r="D278" s="18" t="n"/>
      <c r="E278" s="18" t="n"/>
      <c r="F278" s="18" t="n"/>
      <c r="G278" s="18" t="n"/>
      <c r="H278" s="35">
        <f>IF(OR(E278="",F278="",G278=""),"",E278&amp;"|"&amp;F278&amp;"|"&amp;G278)</f>
        <v/>
      </c>
      <c r="I278" s="36">
        <f>IFERROR(INDEX('8. Base UE (source TCD)'!$J$4:$J$326,MATCH(H278,'8. Base UE (source TCD)'!$L$4:$L$326,0)),"")</f>
        <v/>
      </c>
      <c r="J278" s="17" t="n"/>
      <c r="K278" s="17" t="n"/>
      <c r="L278" s="36">
        <f>IF(COUNT(J278:K278)=0,"",ROUND(J278*$F$2+K278*$I$2,2))</f>
        <v/>
      </c>
      <c r="M278" s="36">
        <f>IF(L278="","",L278*I278)</f>
        <v/>
      </c>
    </row>
    <row r="279">
      <c r="A279" s="16" t="n">
        <v>275</v>
      </c>
      <c r="B279" s="4" t="n"/>
      <c r="C279" s="4" t="n"/>
      <c r="D279" s="4" t="n"/>
      <c r="E279" s="4" t="n"/>
      <c r="F279" s="4" t="n"/>
      <c r="G279" s="4" t="n"/>
      <c r="H279" s="35">
        <f>IF(OR(E279="",F279="",G279=""),"",E279&amp;"|"&amp;F279&amp;"|"&amp;G279)</f>
        <v/>
      </c>
      <c r="I279" s="36">
        <f>IFERROR(INDEX('8. Base UE (source TCD)'!$J$4:$J$326,MATCH(H279,'8. Base UE (source TCD)'!$L$4:$L$326,0)),"")</f>
        <v/>
      </c>
      <c r="J279" s="16" t="n"/>
      <c r="K279" s="16" t="n"/>
      <c r="L279" s="36">
        <f>IF(COUNT(J279:K279)=0,"",ROUND(J279*$F$2+K279*$I$2,2))</f>
        <v/>
      </c>
      <c r="M279" s="36">
        <f>IF(L279="","",L279*I279)</f>
        <v/>
      </c>
    </row>
    <row r="280">
      <c r="A280" s="16" t="n">
        <v>276</v>
      </c>
      <c r="B280" s="18" t="n"/>
      <c r="C280" s="18" t="n"/>
      <c r="D280" s="18" t="n"/>
      <c r="E280" s="18" t="n"/>
      <c r="F280" s="18" t="n"/>
      <c r="G280" s="18" t="n"/>
      <c r="H280" s="35">
        <f>IF(OR(E280="",F280="",G280=""),"",E280&amp;"|"&amp;F280&amp;"|"&amp;G280)</f>
        <v/>
      </c>
      <c r="I280" s="36">
        <f>IFERROR(INDEX('8. Base UE (source TCD)'!$J$4:$J$326,MATCH(H280,'8. Base UE (source TCD)'!$L$4:$L$326,0)),"")</f>
        <v/>
      </c>
      <c r="J280" s="17" t="n"/>
      <c r="K280" s="17" t="n"/>
      <c r="L280" s="36">
        <f>IF(COUNT(J280:K280)=0,"",ROUND(J280*$F$2+K280*$I$2,2))</f>
        <v/>
      </c>
      <c r="M280" s="36">
        <f>IF(L280="","",L280*I280)</f>
        <v/>
      </c>
    </row>
    <row r="281">
      <c r="A281" s="16" t="n">
        <v>277</v>
      </c>
      <c r="B281" s="4" t="n"/>
      <c r="C281" s="4" t="n"/>
      <c r="D281" s="4" t="n"/>
      <c r="E281" s="4" t="n"/>
      <c r="F281" s="4" t="n"/>
      <c r="G281" s="4" t="n"/>
      <c r="H281" s="35">
        <f>IF(OR(E281="",F281="",G281=""),"",E281&amp;"|"&amp;F281&amp;"|"&amp;G281)</f>
        <v/>
      </c>
      <c r="I281" s="36">
        <f>IFERROR(INDEX('8. Base UE (source TCD)'!$J$4:$J$326,MATCH(H281,'8. Base UE (source TCD)'!$L$4:$L$326,0)),"")</f>
        <v/>
      </c>
      <c r="J281" s="16" t="n"/>
      <c r="K281" s="16" t="n"/>
      <c r="L281" s="36">
        <f>IF(COUNT(J281:K281)=0,"",ROUND(J281*$F$2+K281*$I$2,2))</f>
        <v/>
      </c>
      <c r="M281" s="36">
        <f>IF(L281="","",L281*I281)</f>
        <v/>
      </c>
    </row>
    <row r="282">
      <c r="A282" s="16" t="n">
        <v>278</v>
      </c>
      <c r="B282" s="18" t="n"/>
      <c r="C282" s="18" t="n"/>
      <c r="D282" s="18" t="n"/>
      <c r="E282" s="18" t="n"/>
      <c r="F282" s="18" t="n"/>
      <c r="G282" s="18" t="n"/>
      <c r="H282" s="35">
        <f>IF(OR(E282="",F282="",G282=""),"",E282&amp;"|"&amp;F282&amp;"|"&amp;G282)</f>
        <v/>
      </c>
      <c r="I282" s="36">
        <f>IFERROR(INDEX('8. Base UE (source TCD)'!$J$4:$J$326,MATCH(H282,'8. Base UE (source TCD)'!$L$4:$L$326,0)),"")</f>
        <v/>
      </c>
      <c r="J282" s="17" t="n"/>
      <c r="K282" s="17" t="n"/>
      <c r="L282" s="36">
        <f>IF(COUNT(J282:K282)=0,"",ROUND(J282*$F$2+K282*$I$2,2))</f>
        <v/>
      </c>
      <c r="M282" s="36">
        <f>IF(L282="","",L282*I282)</f>
        <v/>
      </c>
    </row>
    <row r="283">
      <c r="A283" s="16" t="n">
        <v>279</v>
      </c>
      <c r="B283" s="4" t="n"/>
      <c r="C283" s="4" t="n"/>
      <c r="D283" s="4" t="n"/>
      <c r="E283" s="4" t="n"/>
      <c r="F283" s="4" t="n"/>
      <c r="G283" s="4" t="n"/>
      <c r="H283" s="35">
        <f>IF(OR(E283="",F283="",G283=""),"",E283&amp;"|"&amp;F283&amp;"|"&amp;G283)</f>
        <v/>
      </c>
      <c r="I283" s="36">
        <f>IFERROR(INDEX('8. Base UE (source TCD)'!$J$4:$J$326,MATCH(H283,'8. Base UE (source TCD)'!$L$4:$L$326,0)),"")</f>
        <v/>
      </c>
      <c r="J283" s="16" t="n"/>
      <c r="K283" s="16" t="n"/>
      <c r="L283" s="36">
        <f>IF(COUNT(J283:K283)=0,"",ROUND(J283*$F$2+K283*$I$2,2))</f>
        <v/>
      </c>
      <c r="M283" s="36">
        <f>IF(L283="","",L283*I283)</f>
        <v/>
      </c>
    </row>
    <row r="284">
      <c r="A284" s="16" t="n">
        <v>280</v>
      </c>
      <c r="B284" s="18" t="n"/>
      <c r="C284" s="18" t="n"/>
      <c r="D284" s="18" t="n"/>
      <c r="E284" s="18" t="n"/>
      <c r="F284" s="18" t="n"/>
      <c r="G284" s="18" t="n"/>
      <c r="H284" s="35">
        <f>IF(OR(E284="",F284="",G284=""),"",E284&amp;"|"&amp;F284&amp;"|"&amp;G284)</f>
        <v/>
      </c>
      <c r="I284" s="36">
        <f>IFERROR(INDEX('8. Base UE (source TCD)'!$J$4:$J$326,MATCH(H284,'8. Base UE (source TCD)'!$L$4:$L$326,0)),"")</f>
        <v/>
      </c>
      <c r="J284" s="17" t="n"/>
      <c r="K284" s="17" t="n"/>
      <c r="L284" s="36">
        <f>IF(COUNT(J284:K284)=0,"",ROUND(J284*$F$2+K284*$I$2,2))</f>
        <v/>
      </c>
      <c r="M284" s="36">
        <f>IF(L284="","",L284*I284)</f>
        <v/>
      </c>
    </row>
    <row r="285">
      <c r="A285" s="16" t="n">
        <v>281</v>
      </c>
      <c r="B285" s="4" t="n"/>
      <c r="C285" s="4" t="n"/>
      <c r="D285" s="4" t="n"/>
      <c r="E285" s="4" t="n"/>
      <c r="F285" s="4" t="n"/>
      <c r="G285" s="4" t="n"/>
      <c r="H285" s="35">
        <f>IF(OR(E285="",F285="",G285=""),"",E285&amp;"|"&amp;F285&amp;"|"&amp;G285)</f>
        <v/>
      </c>
      <c r="I285" s="36">
        <f>IFERROR(INDEX('8. Base UE (source TCD)'!$J$4:$J$326,MATCH(H285,'8. Base UE (source TCD)'!$L$4:$L$326,0)),"")</f>
        <v/>
      </c>
      <c r="J285" s="16" t="n"/>
      <c r="K285" s="16" t="n"/>
      <c r="L285" s="36">
        <f>IF(COUNT(J285:K285)=0,"",ROUND(J285*$F$2+K285*$I$2,2))</f>
        <v/>
      </c>
      <c r="M285" s="36">
        <f>IF(L285="","",L285*I285)</f>
        <v/>
      </c>
    </row>
    <row r="286">
      <c r="A286" s="16" t="n">
        <v>282</v>
      </c>
      <c r="B286" s="18" t="n"/>
      <c r="C286" s="18" t="n"/>
      <c r="D286" s="18" t="n"/>
      <c r="E286" s="18" t="n"/>
      <c r="F286" s="18" t="n"/>
      <c r="G286" s="18" t="n"/>
      <c r="H286" s="35">
        <f>IF(OR(E286="",F286="",G286=""),"",E286&amp;"|"&amp;F286&amp;"|"&amp;G286)</f>
        <v/>
      </c>
      <c r="I286" s="36">
        <f>IFERROR(INDEX('8. Base UE (source TCD)'!$J$4:$J$326,MATCH(H286,'8. Base UE (source TCD)'!$L$4:$L$326,0)),"")</f>
        <v/>
      </c>
      <c r="J286" s="17" t="n"/>
      <c r="K286" s="17" t="n"/>
      <c r="L286" s="36">
        <f>IF(COUNT(J286:K286)=0,"",ROUND(J286*$F$2+K286*$I$2,2))</f>
        <v/>
      </c>
      <c r="M286" s="36">
        <f>IF(L286="","",L286*I286)</f>
        <v/>
      </c>
    </row>
    <row r="287">
      <c r="A287" s="16" t="n">
        <v>283</v>
      </c>
      <c r="B287" s="4" t="n"/>
      <c r="C287" s="4" t="n"/>
      <c r="D287" s="4" t="n"/>
      <c r="E287" s="4" t="n"/>
      <c r="F287" s="4" t="n"/>
      <c r="G287" s="4" t="n"/>
      <c r="H287" s="35">
        <f>IF(OR(E287="",F287="",G287=""),"",E287&amp;"|"&amp;F287&amp;"|"&amp;G287)</f>
        <v/>
      </c>
      <c r="I287" s="36">
        <f>IFERROR(INDEX('8. Base UE (source TCD)'!$J$4:$J$326,MATCH(H287,'8. Base UE (source TCD)'!$L$4:$L$326,0)),"")</f>
        <v/>
      </c>
      <c r="J287" s="16" t="n"/>
      <c r="K287" s="16" t="n"/>
      <c r="L287" s="36">
        <f>IF(COUNT(J287:K287)=0,"",ROUND(J287*$F$2+K287*$I$2,2))</f>
        <v/>
      </c>
      <c r="M287" s="36">
        <f>IF(L287="","",L287*I287)</f>
        <v/>
      </c>
    </row>
    <row r="288">
      <c r="A288" s="16" t="n">
        <v>284</v>
      </c>
      <c r="B288" s="18" t="n"/>
      <c r="C288" s="18" t="n"/>
      <c r="D288" s="18" t="n"/>
      <c r="E288" s="18" t="n"/>
      <c r="F288" s="18" t="n"/>
      <c r="G288" s="18" t="n"/>
      <c r="H288" s="35">
        <f>IF(OR(E288="",F288="",G288=""),"",E288&amp;"|"&amp;F288&amp;"|"&amp;G288)</f>
        <v/>
      </c>
      <c r="I288" s="36">
        <f>IFERROR(INDEX('8. Base UE (source TCD)'!$J$4:$J$326,MATCH(H288,'8. Base UE (source TCD)'!$L$4:$L$326,0)),"")</f>
        <v/>
      </c>
      <c r="J288" s="17" t="n"/>
      <c r="K288" s="17" t="n"/>
      <c r="L288" s="36">
        <f>IF(COUNT(J288:K288)=0,"",ROUND(J288*$F$2+K288*$I$2,2))</f>
        <v/>
      </c>
      <c r="M288" s="36">
        <f>IF(L288="","",L288*I288)</f>
        <v/>
      </c>
    </row>
    <row r="289">
      <c r="A289" s="16" t="n">
        <v>285</v>
      </c>
      <c r="B289" s="4" t="n"/>
      <c r="C289" s="4" t="n"/>
      <c r="D289" s="4" t="n"/>
      <c r="E289" s="4" t="n"/>
      <c r="F289" s="4" t="n"/>
      <c r="G289" s="4" t="n"/>
      <c r="H289" s="35">
        <f>IF(OR(E289="",F289="",G289=""),"",E289&amp;"|"&amp;F289&amp;"|"&amp;G289)</f>
        <v/>
      </c>
      <c r="I289" s="36">
        <f>IFERROR(INDEX('8. Base UE (source TCD)'!$J$4:$J$326,MATCH(H289,'8. Base UE (source TCD)'!$L$4:$L$326,0)),"")</f>
        <v/>
      </c>
      <c r="J289" s="16" t="n"/>
      <c r="K289" s="16" t="n"/>
      <c r="L289" s="36">
        <f>IF(COUNT(J289:K289)=0,"",ROUND(J289*$F$2+K289*$I$2,2))</f>
        <v/>
      </c>
      <c r="M289" s="36">
        <f>IF(L289="","",L289*I289)</f>
        <v/>
      </c>
    </row>
    <row r="290">
      <c r="A290" s="16" t="n">
        <v>286</v>
      </c>
      <c r="B290" s="18" t="n"/>
      <c r="C290" s="18" t="n"/>
      <c r="D290" s="18" t="n"/>
      <c r="E290" s="18" t="n"/>
      <c r="F290" s="18" t="n"/>
      <c r="G290" s="18" t="n"/>
      <c r="H290" s="35">
        <f>IF(OR(E290="",F290="",G290=""),"",E290&amp;"|"&amp;F290&amp;"|"&amp;G290)</f>
        <v/>
      </c>
      <c r="I290" s="36">
        <f>IFERROR(INDEX('8. Base UE (source TCD)'!$J$4:$J$326,MATCH(H290,'8. Base UE (source TCD)'!$L$4:$L$326,0)),"")</f>
        <v/>
      </c>
      <c r="J290" s="17" t="n"/>
      <c r="K290" s="17" t="n"/>
      <c r="L290" s="36">
        <f>IF(COUNT(J290:K290)=0,"",ROUND(J290*$F$2+K290*$I$2,2))</f>
        <v/>
      </c>
      <c r="M290" s="36">
        <f>IF(L290="","",L290*I290)</f>
        <v/>
      </c>
    </row>
    <row r="291">
      <c r="A291" s="16" t="n">
        <v>287</v>
      </c>
      <c r="B291" s="4" t="n"/>
      <c r="C291" s="4" t="n"/>
      <c r="D291" s="4" t="n"/>
      <c r="E291" s="4" t="n"/>
      <c r="F291" s="4" t="n"/>
      <c r="G291" s="4" t="n"/>
      <c r="H291" s="35">
        <f>IF(OR(E291="",F291="",G291=""),"",E291&amp;"|"&amp;F291&amp;"|"&amp;G291)</f>
        <v/>
      </c>
      <c r="I291" s="36">
        <f>IFERROR(INDEX('8. Base UE (source TCD)'!$J$4:$J$326,MATCH(H291,'8. Base UE (source TCD)'!$L$4:$L$326,0)),"")</f>
        <v/>
      </c>
      <c r="J291" s="16" t="n"/>
      <c r="K291" s="16" t="n"/>
      <c r="L291" s="36">
        <f>IF(COUNT(J291:K291)=0,"",ROUND(J291*$F$2+K291*$I$2,2))</f>
        <v/>
      </c>
      <c r="M291" s="36">
        <f>IF(L291="","",L291*I291)</f>
        <v/>
      </c>
    </row>
    <row r="292">
      <c r="A292" s="16" t="n">
        <v>288</v>
      </c>
      <c r="B292" s="18" t="n"/>
      <c r="C292" s="18" t="n"/>
      <c r="D292" s="18" t="n"/>
      <c r="E292" s="18" t="n"/>
      <c r="F292" s="18" t="n"/>
      <c r="G292" s="18" t="n"/>
      <c r="H292" s="35">
        <f>IF(OR(E292="",F292="",G292=""),"",E292&amp;"|"&amp;F292&amp;"|"&amp;G292)</f>
        <v/>
      </c>
      <c r="I292" s="36">
        <f>IFERROR(INDEX('8. Base UE (source TCD)'!$J$4:$J$326,MATCH(H292,'8. Base UE (source TCD)'!$L$4:$L$326,0)),"")</f>
        <v/>
      </c>
      <c r="J292" s="17" t="n"/>
      <c r="K292" s="17" t="n"/>
      <c r="L292" s="36">
        <f>IF(COUNT(J292:K292)=0,"",ROUND(J292*$F$2+K292*$I$2,2))</f>
        <v/>
      </c>
      <c r="M292" s="36">
        <f>IF(L292="","",L292*I292)</f>
        <v/>
      </c>
    </row>
    <row r="293">
      <c r="A293" s="16" t="n">
        <v>289</v>
      </c>
      <c r="B293" s="4" t="n"/>
      <c r="C293" s="4" t="n"/>
      <c r="D293" s="4" t="n"/>
      <c r="E293" s="4" t="n"/>
      <c r="F293" s="4" t="n"/>
      <c r="G293" s="4" t="n"/>
      <c r="H293" s="35">
        <f>IF(OR(E293="",F293="",G293=""),"",E293&amp;"|"&amp;F293&amp;"|"&amp;G293)</f>
        <v/>
      </c>
      <c r="I293" s="36">
        <f>IFERROR(INDEX('8. Base UE (source TCD)'!$J$4:$J$326,MATCH(H293,'8. Base UE (source TCD)'!$L$4:$L$326,0)),"")</f>
        <v/>
      </c>
      <c r="J293" s="16" t="n"/>
      <c r="K293" s="16" t="n"/>
      <c r="L293" s="36">
        <f>IF(COUNT(J293:K293)=0,"",ROUND(J293*$F$2+K293*$I$2,2))</f>
        <v/>
      </c>
      <c r="M293" s="36">
        <f>IF(L293="","",L293*I293)</f>
        <v/>
      </c>
    </row>
    <row r="294">
      <c r="A294" s="16" t="n">
        <v>290</v>
      </c>
      <c r="B294" s="18" t="n"/>
      <c r="C294" s="18" t="n"/>
      <c r="D294" s="18" t="n"/>
      <c r="E294" s="18" t="n"/>
      <c r="F294" s="18" t="n"/>
      <c r="G294" s="18" t="n"/>
      <c r="H294" s="35">
        <f>IF(OR(E294="",F294="",G294=""),"",E294&amp;"|"&amp;F294&amp;"|"&amp;G294)</f>
        <v/>
      </c>
      <c r="I294" s="36">
        <f>IFERROR(INDEX('8. Base UE (source TCD)'!$J$4:$J$326,MATCH(H294,'8. Base UE (source TCD)'!$L$4:$L$326,0)),"")</f>
        <v/>
      </c>
      <c r="J294" s="17" t="n"/>
      <c r="K294" s="17" t="n"/>
      <c r="L294" s="36">
        <f>IF(COUNT(J294:K294)=0,"",ROUND(J294*$F$2+K294*$I$2,2))</f>
        <v/>
      </c>
      <c r="M294" s="36">
        <f>IF(L294="","",L294*I294)</f>
        <v/>
      </c>
    </row>
    <row r="295">
      <c r="A295" s="16" t="n">
        <v>291</v>
      </c>
      <c r="B295" s="4" t="n"/>
      <c r="C295" s="4" t="n"/>
      <c r="D295" s="4" t="n"/>
      <c r="E295" s="4" t="n"/>
      <c r="F295" s="4" t="n"/>
      <c r="G295" s="4" t="n"/>
      <c r="H295" s="35">
        <f>IF(OR(E295="",F295="",G295=""),"",E295&amp;"|"&amp;F295&amp;"|"&amp;G295)</f>
        <v/>
      </c>
      <c r="I295" s="36">
        <f>IFERROR(INDEX('8. Base UE (source TCD)'!$J$4:$J$326,MATCH(H295,'8. Base UE (source TCD)'!$L$4:$L$326,0)),"")</f>
        <v/>
      </c>
      <c r="J295" s="16" t="n"/>
      <c r="K295" s="16" t="n"/>
      <c r="L295" s="36">
        <f>IF(COUNT(J295:K295)=0,"",ROUND(J295*$F$2+K295*$I$2,2))</f>
        <v/>
      </c>
      <c r="M295" s="36">
        <f>IF(L295="","",L295*I295)</f>
        <v/>
      </c>
    </row>
    <row r="296">
      <c r="A296" s="16" t="n">
        <v>292</v>
      </c>
      <c r="B296" s="18" t="n"/>
      <c r="C296" s="18" t="n"/>
      <c r="D296" s="18" t="n"/>
      <c r="E296" s="18" t="n"/>
      <c r="F296" s="18" t="n"/>
      <c r="G296" s="18" t="n"/>
      <c r="H296" s="35">
        <f>IF(OR(E296="",F296="",G296=""),"",E296&amp;"|"&amp;F296&amp;"|"&amp;G296)</f>
        <v/>
      </c>
      <c r="I296" s="36">
        <f>IFERROR(INDEX('8. Base UE (source TCD)'!$J$4:$J$326,MATCH(H296,'8. Base UE (source TCD)'!$L$4:$L$326,0)),"")</f>
        <v/>
      </c>
      <c r="J296" s="17" t="n"/>
      <c r="K296" s="17" t="n"/>
      <c r="L296" s="36">
        <f>IF(COUNT(J296:K296)=0,"",ROUND(J296*$F$2+K296*$I$2,2))</f>
        <v/>
      </c>
      <c r="M296" s="36">
        <f>IF(L296="","",L296*I296)</f>
        <v/>
      </c>
    </row>
    <row r="297">
      <c r="A297" s="16" t="n">
        <v>293</v>
      </c>
      <c r="B297" s="4" t="n"/>
      <c r="C297" s="4" t="n"/>
      <c r="D297" s="4" t="n"/>
      <c r="E297" s="4" t="n"/>
      <c r="F297" s="4" t="n"/>
      <c r="G297" s="4" t="n"/>
      <c r="H297" s="35">
        <f>IF(OR(E297="",F297="",G297=""),"",E297&amp;"|"&amp;F297&amp;"|"&amp;G297)</f>
        <v/>
      </c>
      <c r="I297" s="36">
        <f>IFERROR(INDEX('8. Base UE (source TCD)'!$J$4:$J$326,MATCH(H297,'8. Base UE (source TCD)'!$L$4:$L$326,0)),"")</f>
        <v/>
      </c>
      <c r="J297" s="16" t="n"/>
      <c r="K297" s="16" t="n"/>
      <c r="L297" s="36">
        <f>IF(COUNT(J297:K297)=0,"",ROUND(J297*$F$2+K297*$I$2,2))</f>
        <v/>
      </c>
      <c r="M297" s="36">
        <f>IF(L297="","",L297*I297)</f>
        <v/>
      </c>
    </row>
    <row r="298">
      <c r="A298" s="16" t="n">
        <v>294</v>
      </c>
      <c r="B298" s="18" t="n"/>
      <c r="C298" s="18" t="n"/>
      <c r="D298" s="18" t="n"/>
      <c r="E298" s="18" t="n"/>
      <c r="F298" s="18" t="n"/>
      <c r="G298" s="18" t="n"/>
      <c r="H298" s="35">
        <f>IF(OR(E298="",F298="",G298=""),"",E298&amp;"|"&amp;F298&amp;"|"&amp;G298)</f>
        <v/>
      </c>
      <c r="I298" s="36">
        <f>IFERROR(INDEX('8. Base UE (source TCD)'!$J$4:$J$326,MATCH(H298,'8. Base UE (source TCD)'!$L$4:$L$326,0)),"")</f>
        <v/>
      </c>
      <c r="J298" s="17" t="n"/>
      <c r="K298" s="17" t="n"/>
      <c r="L298" s="36">
        <f>IF(COUNT(J298:K298)=0,"",ROUND(J298*$F$2+K298*$I$2,2))</f>
        <v/>
      </c>
      <c r="M298" s="36">
        <f>IF(L298="","",L298*I298)</f>
        <v/>
      </c>
    </row>
    <row r="299">
      <c r="A299" s="16" t="n">
        <v>295</v>
      </c>
      <c r="B299" s="4" t="n"/>
      <c r="C299" s="4" t="n"/>
      <c r="D299" s="4" t="n"/>
      <c r="E299" s="4" t="n"/>
      <c r="F299" s="4" t="n"/>
      <c r="G299" s="4" t="n"/>
      <c r="H299" s="35">
        <f>IF(OR(E299="",F299="",G299=""),"",E299&amp;"|"&amp;F299&amp;"|"&amp;G299)</f>
        <v/>
      </c>
      <c r="I299" s="36">
        <f>IFERROR(INDEX('8. Base UE (source TCD)'!$J$4:$J$326,MATCH(H299,'8. Base UE (source TCD)'!$L$4:$L$326,0)),"")</f>
        <v/>
      </c>
      <c r="J299" s="16" t="n"/>
      <c r="K299" s="16" t="n"/>
      <c r="L299" s="36">
        <f>IF(COUNT(J299:K299)=0,"",ROUND(J299*$F$2+K299*$I$2,2))</f>
        <v/>
      </c>
      <c r="M299" s="36">
        <f>IF(L299="","",L299*I299)</f>
        <v/>
      </c>
    </row>
    <row r="300">
      <c r="A300" s="16" t="n">
        <v>296</v>
      </c>
      <c r="B300" s="18" t="n"/>
      <c r="C300" s="18" t="n"/>
      <c r="D300" s="18" t="n"/>
      <c r="E300" s="18" t="n"/>
      <c r="F300" s="18" t="n"/>
      <c r="G300" s="18" t="n"/>
      <c r="H300" s="35">
        <f>IF(OR(E300="",F300="",G300=""),"",E300&amp;"|"&amp;F300&amp;"|"&amp;G300)</f>
        <v/>
      </c>
      <c r="I300" s="36">
        <f>IFERROR(INDEX('8. Base UE (source TCD)'!$J$4:$J$326,MATCH(H300,'8. Base UE (source TCD)'!$L$4:$L$326,0)),"")</f>
        <v/>
      </c>
      <c r="J300" s="17" t="n"/>
      <c r="K300" s="17" t="n"/>
      <c r="L300" s="36">
        <f>IF(COUNT(J300:K300)=0,"",ROUND(J300*$F$2+K300*$I$2,2))</f>
        <v/>
      </c>
      <c r="M300" s="36">
        <f>IF(L300="","",L300*I300)</f>
        <v/>
      </c>
    </row>
    <row r="301">
      <c r="A301" s="16" t="n">
        <v>297</v>
      </c>
      <c r="B301" s="4" t="n"/>
      <c r="C301" s="4" t="n"/>
      <c r="D301" s="4" t="n"/>
      <c r="E301" s="4" t="n"/>
      <c r="F301" s="4" t="n"/>
      <c r="G301" s="4" t="n"/>
      <c r="H301" s="35">
        <f>IF(OR(E301="",F301="",G301=""),"",E301&amp;"|"&amp;F301&amp;"|"&amp;G301)</f>
        <v/>
      </c>
      <c r="I301" s="36">
        <f>IFERROR(INDEX('8. Base UE (source TCD)'!$J$4:$J$326,MATCH(H301,'8. Base UE (source TCD)'!$L$4:$L$326,0)),"")</f>
        <v/>
      </c>
      <c r="J301" s="16" t="n"/>
      <c r="K301" s="16" t="n"/>
      <c r="L301" s="36">
        <f>IF(COUNT(J301:K301)=0,"",ROUND(J301*$F$2+K301*$I$2,2))</f>
        <v/>
      </c>
      <c r="M301" s="36">
        <f>IF(L301="","",L301*I301)</f>
        <v/>
      </c>
    </row>
    <row r="302">
      <c r="A302" s="16" t="n">
        <v>298</v>
      </c>
      <c r="B302" s="18" t="n"/>
      <c r="C302" s="18" t="n"/>
      <c r="D302" s="18" t="n"/>
      <c r="E302" s="18" t="n"/>
      <c r="F302" s="18" t="n"/>
      <c r="G302" s="18" t="n"/>
      <c r="H302" s="35">
        <f>IF(OR(E302="",F302="",G302=""),"",E302&amp;"|"&amp;F302&amp;"|"&amp;G302)</f>
        <v/>
      </c>
      <c r="I302" s="36">
        <f>IFERROR(INDEX('8. Base UE (source TCD)'!$J$4:$J$326,MATCH(H302,'8. Base UE (source TCD)'!$L$4:$L$326,0)),"")</f>
        <v/>
      </c>
      <c r="J302" s="17" t="n"/>
      <c r="K302" s="17" t="n"/>
      <c r="L302" s="36">
        <f>IF(COUNT(J302:K302)=0,"",ROUND(J302*$F$2+K302*$I$2,2))</f>
        <v/>
      </c>
      <c r="M302" s="36">
        <f>IF(L302="","",L302*I302)</f>
        <v/>
      </c>
    </row>
    <row r="303">
      <c r="A303" s="16" t="n">
        <v>299</v>
      </c>
      <c r="B303" s="4" t="n"/>
      <c r="C303" s="4" t="n"/>
      <c r="D303" s="4" t="n"/>
      <c r="E303" s="4" t="n"/>
      <c r="F303" s="4" t="n"/>
      <c r="G303" s="4" t="n"/>
      <c r="H303" s="35">
        <f>IF(OR(E303="",F303="",G303=""),"",E303&amp;"|"&amp;F303&amp;"|"&amp;G303)</f>
        <v/>
      </c>
      <c r="I303" s="36">
        <f>IFERROR(INDEX('8. Base UE (source TCD)'!$J$4:$J$326,MATCH(H303,'8. Base UE (source TCD)'!$L$4:$L$326,0)),"")</f>
        <v/>
      </c>
      <c r="J303" s="16" t="n"/>
      <c r="K303" s="16" t="n"/>
      <c r="L303" s="36">
        <f>IF(COUNT(J303:K303)=0,"",ROUND(J303*$F$2+K303*$I$2,2))</f>
        <v/>
      </c>
      <c r="M303" s="36">
        <f>IF(L303="","",L303*I303)</f>
        <v/>
      </c>
    </row>
    <row r="304">
      <c r="A304" s="16" t="n">
        <v>300</v>
      </c>
      <c r="B304" s="18" t="n"/>
      <c r="C304" s="18" t="n"/>
      <c r="D304" s="18" t="n"/>
      <c r="E304" s="18" t="n"/>
      <c r="F304" s="18" t="n"/>
      <c r="G304" s="18" t="n"/>
      <c r="H304" s="35">
        <f>IF(OR(E304="",F304="",G304=""),"",E304&amp;"|"&amp;F304&amp;"|"&amp;G304)</f>
        <v/>
      </c>
      <c r="I304" s="36">
        <f>IFERROR(INDEX('8. Base UE (source TCD)'!$J$4:$J$326,MATCH(H304,'8. Base UE (source TCD)'!$L$4:$L$326,0)),"")</f>
        <v/>
      </c>
      <c r="J304" s="17" t="n"/>
      <c r="K304" s="17" t="n"/>
      <c r="L304" s="36">
        <f>IF(COUNT(J304:K304)=0,"",ROUND(J304*$F$2+K304*$I$2,2))</f>
        <v/>
      </c>
      <c r="M304" s="36">
        <f>IF(L304="","",L304*I304)</f>
        <v/>
      </c>
    </row>
  </sheetData>
  <autoFilter ref="A4:M304"/>
  <conditionalFormatting sqref="L5:L304">
    <cfRule type="expression" priority="1" dxfId="1">
      <formula>AND($L5&lt;&gt;"",$L5&lt;10)</formula>
    </cfRule>
    <cfRule type="expression" priority="2" dxfId="0">
      <formula>AND($L5&lt;&gt;"",$L5&gt;=10)</formula>
    </cfRule>
  </conditionalFormatting>
  <dataValidations count="3">
    <dataValidation sqref="E5:E304" showDropDown="0" showInputMessage="0" showErrorMessage="0" allowBlank="1" type="list">
      <formula1>=Listes!$I$2:$I$5</formula1>
    </dataValidation>
    <dataValidation sqref="F5:F304" showDropDown="0" showInputMessage="0" showErrorMessage="0" allowBlank="1" type="list">
      <formula1>=Listes!$J$2:$J$11</formula1>
    </dataValidation>
    <dataValidation sqref="G5:G304" showDropDown="0" showInputMessage="0" showErrorMessage="0" allowBlank="1" type="list">
      <formula1>='8. Base UE (source TCD)'!$G$4:$G$326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" customWidth="1" min="3" max="3"/>
    <col width="20" customWidth="1" min="4" max="4"/>
    <col width="20" customWidth="1" min="5" max="5"/>
    <col width="20" customWidth="1" min="6" max="6"/>
  </cols>
  <sheetData>
    <row r="1">
      <c r="A1" s="13" t="inlineStr">
        <is>
          <t>RELEVÉ DE NOTES ET DÉCISION PAR ÉTUDIANT (calculé depuis l'onglet « 11. Suivi des notes »)</t>
        </is>
      </c>
    </row>
    <row r="3">
      <c r="A3" s="37" t="inlineStr">
        <is>
          <t>Matricule de l'étudiant :</t>
        </is>
      </c>
      <c r="B3" s="38" t="inlineStr"/>
    </row>
    <row r="5">
      <c r="A5" s="37" t="inlineStr">
        <is>
          <t>Nom et prénoms :</t>
        </is>
      </c>
      <c r="B5" s="4">
        <f>IFERROR(INDEX('11. Suivi des notes'!$C$5:$C$304&amp;" "&amp;'11. Suivi des notes'!$D$5:$D$304,MATCH($B$3,'11. Suivi des notes'!$B$5:$B$304,0)),"")</f>
        <v/>
      </c>
    </row>
    <row r="6">
      <c r="A6" s="37" t="inlineStr">
        <is>
          <t>Crédits inscrits :</t>
        </is>
      </c>
      <c r="B6" s="4">
        <f>IFERROR(SUMIFS('11. Suivi des notes'!$I$5:$I$304,'11. Suivi des notes'!$B$5:$B$304,$B$3),0)</f>
        <v/>
      </c>
    </row>
    <row r="7">
      <c r="A7" s="37" t="inlineStr">
        <is>
          <t>Points obtenus :</t>
        </is>
      </c>
      <c r="B7" s="4">
        <f>IFERROR(SUMIFS('11. Suivi des notes'!$M$5:$M$304,'11. Suivi des notes'!$B$5:$B$304,$B$3),0)</f>
        <v/>
      </c>
    </row>
    <row r="8">
      <c r="A8" s="37" t="inlineStr">
        <is>
          <t>Moyenne générale /20 :</t>
        </is>
      </c>
      <c r="B8" s="39">
        <f>IF(B6=0,"",ROUND(B7/B6,2))</f>
        <v/>
      </c>
    </row>
    <row r="9">
      <c r="A9" s="37" t="inlineStr">
        <is>
          <t>UE validées (&gt;= 10) :</t>
        </is>
      </c>
      <c r="B9" s="4">
        <f>COUNTIFS('11. Suivi des notes'!$B$5:$B$304,$B$3,'11. Suivi des notes'!$L$5:$L$304,"&gt;=10")</f>
        <v/>
      </c>
    </row>
    <row r="10">
      <c r="A10" s="37" t="inlineStr">
        <is>
          <t>UE non validées (&lt; 10) :</t>
        </is>
      </c>
      <c r="B10" s="4">
        <f>COUNTIFS('11. Suivi des notes'!$B$5:$B$304,$B$3,'11. Suivi des notes'!$L$5:$L$304,"&lt;10")</f>
        <v/>
      </c>
    </row>
    <row r="11">
      <c r="A11" s="37" t="inlineStr">
        <is>
          <t>DÉCISION :</t>
        </is>
      </c>
      <c r="B11" s="40">
        <f>IF(B8="","",IF(B8&gt;=10,"SEMESTRE VALIDÉ","NON VALIDÉ"))</f>
        <v/>
      </c>
    </row>
    <row r="14">
      <c r="D14" s="41" t="inlineStr">
        <is>
          <t>Rappel barème : moyenne UE = Note CC x poids CC + Note Examen x poids examen (poids modifiables dans l'onglet 11). Seuil de validation = 10/20 (règle LMD classique — à confirmer avec le règlement intérieur de l'INJS).</t>
        </is>
      </c>
    </row>
    <row r="15"/>
    <row r="16"/>
    <row r="17"/>
    <row r="18"/>
  </sheetData>
  <mergeCells count="1">
    <mergeCell ref="D14:F18"/>
  </mergeCells>
  <conditionalFormatting sqref="B11">
    <cfRule type="expression" priority="1" dxfId="0">
      <formula>$B$11="SEMESTRE VALIDÉ"</formula>
    </cfRule>
    <cfRule type="expression" priority="2" dxfId="1">
      <formula>$B$11="NON VALIDÉ"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3" t="inlineStr">
        <is>
          <t>EMPLOI DU TEMps — MODÈLE VIERGE (hebdomadaire)</t>
        </is>
      </c>
    </row>
    <row r="3">
      <c r="B3" s="20" t="inlineStr">
        <is>
          <t>Filière :</t>
        </is>
      </c>
      <c r="C3" s="38" t="n"/>
      <c r="E3" s="20" t="inlineStr">
        <is>
          <t>Année :</t>
        </is>
      </c>
      <c r="F3" s="38" t="n"/>
      <c r="H3" s="20" t="inlineStr">
        <is>
          <t>Groupe :</t>
        </is>
      </c>
      <c r="I3" s="38" t="n"/>
      <c r="K3" s="20" t="inlineStr">
        <is>
          <t>Semestre :</t>
        </is>
      </c>
      <c r="L3" s="38" t="n"/>
    </row>
    <row r="4">
      <c r="B4" s="20" t="inlineStr">
        <is>
          <t>Semaine du :</t>
        </is>
      </c>
      <c r="C4" s="38" t="n"/>
      <c r="E4" s="20" t="inlineStr">
        <is>
          <t>Enseignant(s) :</t>
        </is>
      </c>
      <c r="F4" s="38" t="n"/>
    </row>
    <row r="7">
      <c r="A7" s="15" t="inlineStr">
        <is>
          <t>Plage horaire</t>
        </is>
      </c>
      <c r="B7" s="15" t="inlineStr">
        <is>
          <t>Lundi</t>
        </is>
      </c>
      <c r="C7" s="15" t="inlineStr">
        <is>
          <t>Mardi</t>
        </is>
      </c>
      <c r="D7" s="15" t="inlineStr">
        <is>
          <t>Mercredi</t>
        </is>
      </c>
      <c r="E7" s="15" t="inlineStr">
        <is>
          <t>Jeudi</t>
        </is>
      </c>
      <c r="F7" s="15" t="inlineStr">
        <is>
          <t>Vendredi</t>
        </is>
      </c>
      <c r="G7" s="15" t="inlineStr">
        <is>
          <t>Samedi</t>
        </is>
      </c>
    </row>
    <row r="8" ht="26" customHeight="1">
      <c r="A8" s="42" t="inlineStr">
        <is>
          <t>07h30 - 09h30</t>
        </is>
      </c>
      <c r="B8" s="16" t="n"/>
      <c r="C8" s="16" t="n"/>
      <c r="D8" s="16" t="n"/>
      <c r="E8" s="16" t="n"/>
      <c r="F8" s="16" t="n"/>
      <c r="G8" s="16" t="n"/>
    </row>
    <row r="9" ht="26" customHeight="1">
      <c r="A9" s="43" t="n"/>
      <c r="B9" s="16" t="n"/>
      <c r="C9" s="16" t="n"/>
      <c r="D9" s="16" t="n"/>
      <c r="E9" s="16" t="n"/>
      <c r="F9" s="16" t="n"/>
      <c r="G9" s="16" t="n"/>
    </row>
    <row r="10" ht="26" customHeight="1">
      <c r="A10" s="42" t="inlineStr">
        <is>
          <t>09h45 - 11h45</t>
        </is>
      </c>
      <c r="B10" s="16" t="n"/>
      <c r="C10" s="16" t="n"/>
      <c r="D10" s="16" t="n"/>
      <c r="E10" s="16" t="n"/>
      <c r="F10" s="16" t="n"/>
      <c r="G10" s="16" t="n"/>
    </row>
    <row r="11" ht="26" customHeight="1">
      <c r="A11" s="43" t="n"/>
      <c r="B11" s="16" t="n"/>
      <c r="C11" s="16" t="n"/>
      <c r="D11" s="16" t="n"/>
      <c r="E11" s="16" t="n"/>
      <c r="F11" s="16" t="n"/>
      <c r="G11" s="16" t="n"/>
    </row>
    <row r="12" ht="26" customHeight="1">
      <c r="A12" s="42" t="inlineStr">
        <is>
          <t>13h30 - 15h30</t>
        </is>
      </c>
      <c r="B12" s="16" t="n"/>
      <c r="C12" s="16" t="n"/>
      <c r="D12" s="16" t="n"/>
      <c r="E12" s="16" t="n"/>
      <c r="F12" s="16" t="n"/>
      <c r="G12" s="16" t="n"/>
    </row>
    <row r="13" ht="26" customHeight="1">
      <c r="A13" s="43" t="n"/>
      <c r="B13" s="16" t="n"/>
      <c r="C13" s="16" t="n"/>
      <c r="D13" s="16" t="n"/>
      <c r="E13" s="16" t="n"/>
      <c r="F13" s="16" t="n"/>
      <c r="G13" s="16" t="n"/>
    </row>
    <row r="14" ht="26" customHeight="1">
      <c r="A14" s="42" t="inlineStr">
        <is>
          <t>15h45 - 17h45</t>
        </is>
      </c>
      <c r="B14" s="16" t="n"/>
      <c r="C14" s="16" t="n"/>
      <c r="D14" s="16" t="n"/>
      <c r="E14" s="16" t="n"/>
      <c r="F14" s="16" t="n"/>
      <c r="G14" s="16" t="n"/>
    </row>
    <row r="15" ht="26" customHeight="1">
      <c r="A15" s="43" t="n"/>
      <c r="B15" s="16" t="n"/>
      <c r="C15" s="16" t="n"/>
      <c r="D15" s="16" t="n"/>
      <c r="E15" s="16" t="n"/>
      <c r="F15" s="16" t="n"/>
      <c r="G15" s="16" t="n"/>
    </row>
    <row r="18">
      <c r="A18" s="41" t="inlineStr">
        <is>
          <t>Lecture : ligne 1 de chaque plage = UE / activité ; ligne 2 = type de séance (liste déroulante) + salle/plateau. Pause méridienne ~ 11h45-13h30. Modèle neutre à adapter aux horaires officiels communiqués par la scolarité.</t>
        </is>
      </c>
    </row>
    <row r="19"/>
  </sheetData>
  <mergeCells count="5">
    <mergeCell ref="A8:A9"/>
    <mergeCell ref="A12:A13"/>
    <mergeCell ref="A10:A11"/>
    <mergeCell ref="A18:G19"/>
    <mergeCell ref="A14:A15"/>
  </mergeCells>
  <dataValidations count="5">
    <dataValidation sqref="C3" showDropDown="0" showInputMessage="0" showErrorMessage="0" allowBlank="1" type="list">
      <formula1>=Listes!$I$2:$I$5</formula1>
    </dataValidation>
    <dataValidation sqref="F3" showDropDown="0" showInputMessage="0" showErrorMessage="0" allowBlank="1" type="list">
      <formula1>=Listes!$E$2:$E$9</formula1>
    </dataValidation>
    <dataValidation sqref="I3" showDropDown="0" showInputMessage="0" showErrorMessage="0" allowBlank="1" type="list">
      <formula1>=Listes!$H$2:$H$7</formula1>
    </dataValidation>
    <dataValidation sqref="L3" showDropDown="0" showInputMessage="0" showErrorMessage="0" allowBlank="1" type="list">
      <formula1>=Listes!$J$2:$J$11</formula1>
    </dataValidation>
    <dataValidation sqref="B9 B11 B13 B15 C9 C11 C13 C15 D9 D11 D13 D15 E9 E11 E13 E15 F9 F11 F13 F15 G9 G11 G13 G15" showDropDown="0" showInputMessage="0" showErrorMessage="0" allowBlank="1" type="list">
      <formula1>=Listes!$K$2:$K$8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2026-10-28T08:36:34Z</dcterms:created>
  <dcterms:modified xmlns:dcterms="http://purl.org/dc/terms/" xmlns:xsi="http://www.w3.org/2001/XMLSchema-instance" xsi:type="dcterms:W3CDTF">2026-10-28T08:36:35Z</dcterms:modified>
</cp:coreProperties>
</file>